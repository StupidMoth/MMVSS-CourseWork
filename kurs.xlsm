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0" yWindow="0" windowWidth="20730" windowHeight="11025"/>
  </bookViews>
  <sheets>
    <sheet name="param" sheetId="1" r:id="rId1"/>
    <sheet name="Лист1" sheetId="2" r:id="rId2"/>
  </sheets>
  <definedNames>
    <definedName name="out" localSheetId="0">param!$H$108:$AA$127</definedName>
    <definedName name="out" localSheetId="1">Лист1!$A$1:$T$20</definedName>
    <definedName name="пути_1" localSheetId="0">param!$H$84:$AA$103</definedName>
  </definedNames>
  <calcPr calcId="144525"/>
</workbook>
</file>

<file path=xl/calcChain.xml><?xml version="1.0" encoding="utf-8"?>
<calcChain xmlns="http://schemas.openxmlformats.org/spreadsheetml/2006/main">
  <c r="AA36" i="1" l="1"/>
  <c r="AA40" i="1"/>
  <c r="Z36" i="1"/>
  <c r="Z38" i="1" s="1"/>
  <c r="Y36" i="1"/>
  <c r="Y39" i="1" s="1"/>
  <c r="X36" i="1"/>
  <c r="X43" i="1" s="1"/>
  <c r="W36" i="1"/>
  <c r="V36" i="1"/>
  <c r="V45" i="1" s="1"/>
  <c r="U36" i="1"/>
  <c r="U39" i="1" s="1"/>
  <c r="T36" i="1"/>
  <c r="S36" i="1"/>
  <c r="S38" i="1" s="1"/>
  <c r="R36" i="1"/>
  <c r="Q36" i="1"/>
  <c r="Q53" i="1" s="1"/>
  <c r="P36" i="1"/>
  <c r="O36" i="1"/>
  <c r="O42" i="1" s="1"/>
  <c r="N36" i="1"/>
  <c r="N37" i="1" s="1"/>
  <c r="M36" i="1"/>
  <c r="M52" i="1" s="1"/>
  <c r="L36" i="1"/>
  <c r="L42" i="1" s="1"/>
  <c r="K36" i="1"/>
  <c r="K39" i="1" s="1"/>
  <c r="J36" i="1"/>
  <c r="J39" i="1" s="1"/>
  <c r="Q38" i="1"/>
  <c r="I36" i="1"/>
  <c r="I40" i="1" s="1"/>
  <c r="H36" i="1"/>
  <c r="J38" i="1"/>
  <c r="N38" i="1"/>
  <c r="R38" i="1"/>
  <c r="H41" i="1"/>
  <c r="I37" i="1"/>
  <c r="P37" i="1"/>
  <c r="R37" i="1"/>
  <c r="S37" i="1"/>
  <c r="T37" i="1"/>
  <c r="W37" i="1"/>
  <c r="I38" i="1"/>
  <c r="P38" i="1"/>
  <c r="T38" i="1"/>
  <c r="U38" i="1"/>
  <c r="V38" i="1"/>
  <c r="W38" i="1"/>
  <c r="X38" i="1"/>
  <c r="Y38" i="1"/>
  <c r="AA38" i="1"/>
  <c r="I39" i="1"/>
  <c r="N39" i="1"/>
  <c r="P39" i="1"/>
  <c r="R39" i="1"/>
  <c r="S39" i="1"/>
  <c r="T39" i="1"/>
  <c r="V39" i="1"/>
  <c r="W39" i="1"/>
  <c r="X39" i="1"/>
  <c r="P40" i="1"/>
  <c r="S40" i="1"/>
  <c r="T40" i="1"/>
  <c r="V40" i="1"/>
  <c r="W40" i="1"/>
  <c r="X40" i="1"/>
  <c r="I41" i="1"/>
  <c r="L41" i="1"/>
  <c r="N41" i="1"/>
  <c r="P41" i="1"/>
  <c r="R41" i="1"/>
  <c r="S41" i="1"/>
  <c r="T41" i="1"/>
  <c r="V41" i="1"/>
  <c r="W41" i="1"/>
  <c r="X41" i="1"/>
  <c r="AA41" i="1"/>
  <c r="H42" i="1"/>
  <c r="I42" i="1"/>
  <c r="N42" i="1"/>
  <c r="P42" i="1"/>
  <c r="R42" i="1"/>
  <c r="S42" i="1"/>
  <c r="T42" i="1"/>
  <c r="V42" i="1"/>
  <c r="W42" i="1"/>
  <c r="X42" i="1"/>
  <c r="Z42" i="1"/>
  <c r="AA42" i="1"/>
  <c r="I43" i="1"/>
  <c r="P43" i="1"/>
  <c r="S43" i="1"/>
  <c r="T43" i="1"/>
  <c r="V43" i="1"/>
  <c r="W43" i="1"/>
  <c r="Z43" i="1"/>
  <c r="AA43" i="1"/>
  <c r="I44" i="1"/>
  <c r="K44" i="1"/>
  <c r="P44" i="1"/>
  <c r="R44" i="1"/>
  <c r="S44" i="1"/>
  <c r="T44" i="1"/>
  <c r="V44" i="1"/>
  <c r="W44" i="1"/>
  <c r="X44" i="1"/>
  <c r="I45" i="1"/>
  <c r="P45" i="1"/>
  <c r="Q45" i="1"/>
  <c r="S45" i="1"/>
  <c r="T45" i="1"/>
  <c r="W45" i="1"/>
  <c r="H46" i="1"/>
  <c r="I46" i="1"/>
  <c r="P46" i="1"/>
  <c r="R46" i="1"/>
  <c r="S46" i="1"/>
  <c r="T46" i="1"/>
  <c r="U46" i="1"/>
  <c r="V46" i="1"/>
  <c r="W46" i="1"/>
  <c r="Y46" i="1"/>
  <c r="AA46" i="1"/>
  <c r="I47" i="1"/>
  <c r="P47" i="1"/>
  <c r="S47" i="1"/>
  <c r="T47" i="1"/>
  <c r="V47" i="1"/>
  <c r="W47" i="1"/>
  <c r="H48" i="1"/>
  <c r="I48" i="1"/>
  <c r="P48" i="1"/>
  <c r="S48" i="1"/>
  <c r="T48" i="1"/>
  <c r="V48" i="1"/>
  <c r="W48" i="1"/>
  <c r="Z48" i="1"/>
  <c r="AA48" i="1"/>
  <c r="I49" i="1"/>
  <c r="L49" i="1"/>
  <c r="N49" i="1"/>
  <c r="P49" i="1"/>
  <c r="R49" i="1"/>
  <c r="S49" i="1"/>
  <c r="T49" i="1"/>
  <c r="V49" i="1"/>
  <c r="W49" i="1"/>
  <c r="H50" i="1"/>
  <c r="I50" i="1"/>
  <c r="P50" i="1"/>
  <c r="S50" i="1"/>
  <c r="T50" i="1"/>
  <c r="V50" i="1"/>
  <c r="W50" i="1"/>
  <c r="Z50" i="1"/>
  <c r="I51" i="1"/>
  <c r="L51" i="1"/>
  <c r="N51" i="1"/>
  <c r="P51" i="1"/>
  <c r="R51" i="1"/>
  <c r="S51" i="1"/>
  <c r="T51" i="1"/>
  <c r="V51" i="1"/>
  <c r="W51" i="1"/>
  <c r="H52" i="1"/>
  <c r="I52" i="1"/>
  <c r="N52" i="1"/>
  <c r="P52" i="1"/>
  <c r="R52" i="1"/>
  <c r="S52" i="1"/>
  <c r="T52" i="1"/>
  <c r="U52" i="1"/>
  <c r="V52" i="1"/>
  <c r="W52" i="1"/>
  <c r="X52" i="1"/>
  <c r="Y52" i="1"/>
  <c r="AA52" i="1"/>
  <c r="I53" i="1"/>
  <c r="L53" i="1"/>
  <c r="P53" i="1"/>
  <c r="S53" i="1"/>
  <c r="T53" i="1"/>
  <c r="V53" i="1"/>
  <c r="W53" i="1"/>
  <c r="AA53" i="1"/>
  <c r="H54" i="1"/>
  <c r="I54" i="1"/>
  <c r="L54" i="1"/>
  <c r="N54" i="1"/>
  <c r="P54" i="1"/>
  <c r="R54" i="1"/>
  <c r="S54" i="1"/>
  <c r="T54" i="1"/>
  <c r="U54" i="1"/>
  <c r="V54" i="1"/>
  <c r="W54" i="1"/>
  <c r="Y54" i="1"/>
  <c r="Z54" i="1"/>
  <c r="AA54" i="1"/>
  <c r="I55" i="1"/>
  <c r="L55" i="1"/>
  <c r="P55" i="1"/>
  <c r="S55" i="1"/>
  <c r="T55" i="1"/>
  <c r="U55" i="1"/>
  <c r="V55" i="1"/>
  <c r="W55" i="1"/>
  <c r="Y55" i="1"/>
  <c r="AA55" i="1"/>
  <c r="I56" i="1"/>
  <c r="AA50" i="1" l="1"/>
  <c r="AA47" i="1"/>
  <c r="AA37" i="1"/>
  <c r="AA49" i="1"/>
  <c r="AA44" i="1"/>
  <c r="AA39" i="1"/>
  <c r="AA51" i="1"/>
  <c r="AA45" i="1"/>
  <c r="Z55" i="1"/>
  <c r="Z51" i="1"/>
  <c r="Z49" i="1"/>
  <c r="Z47" i="1"/>
  <c r="Z46" i="1"/>
  <c r="Z45" i="1"/>
  <c r="Z44" i="1"/>
  <c r="Z37" i="1"/>
  <c r="Z41" i="1"/>
  <c r="Z40" i="1"/>
  <c r="Z39" i="1"/>
  <c r="Z53" i="1"/>
  <c r="Z52" i="1"/>
  <c r="X53" i="1"/>
  <c r="X51" i="1"/>
  <c r="X50" i="1"/>
  <c r="X47" i="1"/>
  <c r="X37" i="1"/>
  <c r="X55" i="1"/>
  <c r="X54" i="1"/>
  <c r="X49" i="1"/>
  <c r="X48" i="1"/>
  <c r="X46" i="1"/>
  <c r="X45" i="1"/>
  <c r="V37" i="1"/>
  <c r="Q52" i="1"/>
  <c r="Q46" i="1"/>
  <c r="Q43" i="1"/>
  <c r="Q54" i="1"/>
  <c r="O49" i="1"/>
  <c r="O44" i="1"/>
  <c r="O52" i="1"/>
  <c r="O37" i="1"/>
  <c r="O39" i="1"/>
  <c r="N46" i="1"/>
  <c r="N44" i="1"/>
  <c r="M55" i="1"/>
  <c r="M54" i="1"/>
  <c r="M48" i="1"/>
  <c r="M40" i="1"/>
  <c r="L46" i="1"/>
  <c r="L45" i="1"/>
  <c r="L39" i="1"/>
  <c r="L38" i="1"/>
  <c r="L50" i="1"/>
  <c r="L47" i="1"/>
  <c r="L44" i="1"/>
  <c r="L43" i="1"/>
  <c r="L40" i="1"/>
  <c r="L37" i="1"/>
  <c r="L52" i="1"/>
  <c r="L48" i="1"/>
  <c r="K49" i="1"/>
  <c r="K42" i="1"/>
  <c r="K37" i="1"/>
  <c r="K52" i="1"/>
  <c r="Q55" i="1"/>
  <c r="Y53" i="1"/>
  <c r="U53" i="1"/>
  <c r="M51" i="1"/>
  <c r="Q50" i="1"/>
  <c r="Y49" i="1"/>
  <c r="U49" i="1"/>
  <c r="Q49" i="1"/>
  <c r="M49" i="1"/>
  <c r="Q47" i="1"/>
  <c r="Y45" i="1"/>
  <c r="U45" i="1"/>
  <c r="Y43" i="1"/>
  <c r="U43" i="1"/>
  <c r="M41" i="1"/>
  <c r="Q40" i="1"/>
  <c r="M38" i="1"/>
  <c r="M53" i="1"/>
  <c r="Y51" i="1"/>
  <c r="U51" i="1"/>
  <c r="Q51" i="1"/>
  <c r="Y50" i="1"/>
  <c r="U50" i="1"/>
  <c r="Q48" i="1"/>
  <c r="Y47" i="1"/>
  <c r="U47" i="1"/>
  <c r="M45" i="1"/>
  <c r="M43" i="1"/>
  <c r="Y41" i="1"/>
  <c r="U41" i="1"/>
  <c r="Q41" i="1"/>
  <c r="Y40" i="1"/>
  <c r="U40" i="1"/>
  <c r="M39" i="1"/>
  <c r="Y37" i="1"/>
  <c r="U37" i="1"/>
  <c r="Q37" i="1"/>
  <c r="M37" i="1"/>
  <c r="M50" i="1"/>
  <c r="Y48" i="1"/>
  <c r="U48" i="1"/>
  <c r="M47" i="1"/>
  <c r="M46" i="1"/>
  <c r="Y44" i="1"/>
  <c r="U44" i="1"/>
  <c r="Q44" i="1"/>
  <c r="M44" i="1"/>
  <c r="Y42" i="1"/>
  <c r="U42" i="1"/>
  <c r="Q42" i="1"/>
  <c r="M42" i="1"/>
  <c r="Q39" i="1"/>
  <c r="O55" i="1"/>
  <c r="O50" i="1"/>
  <c r="K47" i="1"/>
  <c r="O40" i="1"/>
  <c r="R55" i="1"/>
  <c r="N55" i="1"/>
  <c r="O53" i="1"/>
  <c r="K53" i="1"/>
  <c r="R50" i="1"/>
  <c r="N50" i="1"/>
  <c r="O48" i="1"/>
  <c r="K48" i="1"/>
  <c r="R47" i="1"/>
  <c r="N47" i="1"/>
  <c r="O45" i="1"/>
  <c r="K45" i="1"/>
  <c r="O43" i="1"/>
  <c r="K43" i="1"/>
  <c r="R40" i="1"/>
  <c r="N40" i="1"/>
  <c r="O38" i="1"/>
  <c r="K38" i="1"/>
  <c r="K55" i="1"/>
  <c r="K50" i="1"/>
  <c r="O47" i="1"/>
  <c r="K40" i="1"/>
  <c r="O54" i="1"/>
  <c r="K54" i="1"/>
  <c r="R53" i="1"/>
  <c r="N53" i="1"/>
  <c r="O51" i="1"/>
  <c r="K51" i="1"/>
  <c r="R48" i="1"/>
  <c r="N48" i="1"/>
  <c r="O46" i="1"/>
  <c r="K46" i="1"/>
  <c r="R45" i="1"/>
  <c r="N45" i="1"/>
  <c r="R43" i="1"/>
  <c r="N43" i="1"/>
  <c r="O41" i="1"/>
  <c r="K41" i="1"/>
  <c r="H55" i="1"/>
  <c r="H51" i="1"/>
  <c r="H47" i="1"/>
  <c r="H43" i="1"/>
  <c r="H37" i="1"/>
  <c r="H44" i="1"/>
  <c r="H53" i="1"/>
  <c r="H49" i="1"/>
  <c r="H45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7" i="1"/>
  <c r="H40" i="1"/>
  <c r="H39" i="1"/>
  <c r="H38" i="1"/>
  <c r="H56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9" i="1"/>
  <c r="J56" i="1" l="1"/>
  <c r="C29" i="1"/>
  <c r="AE30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9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H30" i="1"/>
  <c r="K56" i="1" l="1"/>
  <c r="AD30" i="1"/>
  <c r="AC30" i="1"/>
  <c r="L56" i="1" l="1"/>
  <c r="AB29" i="1"/>
  <c r="M56" i="1" l="1"/>
  <c r="B29" i="1"/>
  <c r="N56" i="1" l="1"/>
  <c r="D11" i="1"/>
  <c r="D25" i="1"/>
  <c r="D24" i="1"/>
  <c r="D23" i="1"/>
  <c r="D20" i="1"/>
  <c r="D12" i="1"/>
  <c r="D17" i="1"/>
  <c r="D19" i="1"/>
  <c r="D28" i="1"/>
  <c r="D16" i="1"/>
  <c r="D27" i="1"/>
  <c r="D15" i="1"/>
  <c r="D26" i="1"/>
  <c r="D18" i="1"/>
  <c r="D10" i="1"/>
  <c r="D22" i="1"/>
  <c r="D14" i="1"/>
  <c r="D9" i="1"/>
  <c r="D21" i="1"/>
  <c r="D13" i="1"/>
  <c r="O56" i="1" l="1"/>
  <c r="D29" i="1"/>
  <c r="P56" i="1" l="1"/>
  <c r="Q56" i="1" l="1"/>
  <c r="R56" i="1" l="1"/>
  <c r="S56" i="1" l="1"/>
  <c r="T56" i="1" l="1"/>
  <c r="U56" i="1" l="1"/>
  <c r="V56" i="1" l="1"/>
  <c r="W56" i="1" l="1"/>
  <c r="X56" i="1" l="1"/>
  <c r="Y56" i="1" l="1"/>
  <c r="AA56" i="1" l="1"/>
  <c r="Z56" i="1"/>
</calcChain>
</file>

<file path=xl/connections.xml><?xml version="1.0" encoding="utf-8"?>
<connections xmlns="http://schemas.openxmlformats.org/spreadsheetml/2006/main">
  <connection id="1" name="out" type="6" refreshedVersion="3" background="1" saveData="1">
    <textPr codePage="866" sourceFile="C:\Users\сергей\Desktop\out.txt" decimal="," thousands=" " space="1" consecutive="1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1" type="6" refreshedVersion="3" background="1" saveData="1">
    <textPr codePage="866" sourceFile="C:\Users\сергей\Desktop\out.txt" decimal="," thousands=" " space="1" consecutive="1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пути1" type="6" refreshedVersion="3" background="1" saveData="1">
    <textPr codePage="866" sourceFile="C:\Users\сергей\Desktop\пути.txt" decimal="," thousands=" " tab="0" space="1" consecutive="1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пути11" type="6" refreshedVersion="3" background="1" saveData="1">
    <textPr codePage="866" sourceFile="C:\Users\сергей\Desktop\пути.txt" decimal="," thousands=" " tab="0" space="1" consecutive="1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<sst xmlns="http://schemas.openxmlformats.org/spreadsheetml/2006/main" count="664" uniqueCount="196">
  <si>
    <t>Codec</t>
  </si>
  <si>
    <t>G.711</t>
  </si>
  <si>
    <t>Распределение абонентов по узлам сети</t>
  </si>
  <si>
    <t>Всего</t>
  </si>
  <si>
    <t>Ki</t>
  </si>
  <si>
    <t>L</t>
  </si>
  <si>
    <t>байт</t>
  </si>
  <si>
    <t>с</t>
  </si>
  <si>
    <t>шт.</t>
  </si>
  <si>
    <t>Эрл</t>
  </si>
  <si>
    <t>-</t>
  </si>
  <si>
    <t>Матрица расстояний</t>
  </si>
  <si>
    <t>Параметры сети (исходные данные)</t>
  </si>
  <si>
    <t>a</t>
  </si>
  <si>
    <t>b</t>
  </si>
  <si>
    <t>p</t>
  </si>
  <si>
    <t>n</t>
  </si>
  <si>
    <t>бит/с</t>
  </si>
  <si>
    <t>Код задания</t>
  </si>
  <si>
    <t>q</t>
  </si>
  <si>
    <t>%</t>
  </si>
  <si>
    <r>
      <rPr>
        <i/>
        <sz val="14"/>
        <color theme="1"/>
        <rFont val="Calibri"/>
        <family val="2"/>
        <charset val="204"/>
        <scheme val="minor"/>
      </rPr>
      <t>y</t>
    </r>
    <r>
      <rPr>
        <b/>
        <sz val="11"/>
        <color theme="1"/>
        <rFont val="Calibri"/>
        <family val="2"/>
        <charset val="204"/>
        <scheme val="minor"/>
      </rPr>
      <t>0</t>
    </r>
  </si>
  <si>
    <r>
      <rPr>
        <i/>
        <sz val="14"/>
        <color theme="1"/>
        <rFont val="Calibri"/>
        <family val="2"/>
        <charset val="204"/>
        <scheme val="minor"/>
      </rPr>
      <t>a</t>
    </r>
    <r>
      <rPr>
        <b/>
        <sz val="8"/>
        <color theme="1"/>
        <rFont val="Calibri"/>
        <family val="2"/>
        <charset val="204"/>
        <scheme val="minor"/>
      </rPr>
      <t>0</t>
    </r>
  </si>
  <si>
    <r>
      <rPr>
        <i/>
        <sz val="11"/>
        <color theme="1"/>
        <rFont val="Calibri"/>
        <family val="2"/>
        <charset val="204"/>
        <scheme val="minor"/>
      </rPr>
      <t>T</t>
    </r>
    <r>
      <rPr>
        <b/>
        <sz val="8"/>
        <color theme="1"/>
        <rFont val="Calibri"/>
        <family val="2"/>
        <charset val="204"/>
        <scheme val="minor"/>
      </rPr>
      <t>0</t>
    </r>
  </si>
  <si>
    <t>Абонентов</t>
  </si>
  <si>
    <t>Нагрузка</t>
  </si>
  <si>
    <t>Матрица Смежности</t>
  </si>
  <si>
    <t>Таблица минимальных расстояний</t>
  </si>
  <si>
    <t>v</t>
  </si>
  <si>
    <t>y~</t>
  </si>
  <si>
    <t>Матрица кратча</t>
  </si>
  <si>
    <t>щих марщрутов</t>
  </si>
  <si>
    <t>b0</t>
  </si>
  <si>
    <t>del</t>
  </si>
  <si>
    <t>dl</t>
  </si>
  <si>
    <t>o</t>
  </si>
  <si>
    <t>0.100326</t>
  </si>
  <si>
    <t>0.100168</t>
  </si>
  <si>
    <t>0.10036</t>
  </si>
  <si>
    <t>0.100327</t>
  </si>
  <si>
    <t>0.100135</t>
  </si>
  <si>
    <t>0.100132</t>
  </si>
  <si>
    <t>0.100138</t>
  </si>
  <si>
    <t>0.100165</t>
  </si>
  <si>
    <t>0.100231</t>
  </si>
  <si>
    <t>0.100277</t>
  </si>
  <si>
    <t>0.100175</t>
  </si>
  <si>
    <t>0.10014</t>
  </si>
  <si>
    <t>0.100372</t>
  </si>
  <si>
    <t>0.100148</t>
  </si>
  <si>
    <t>0.100146</t>
  </si>
  <si>
    <t>0.10039</t>
  </si>
  <si>
    <t>0.100255</t>
  </si>
  <si>
    <t>0.100154</t>
  </si>
  <si>
    <t>0.100136</t>
  </si>
  <si>
    <t>0.100322</t>
  </si>
  <si>
    <t>0.10017</t>
  </si>
  <si>
    <t>0.10021</t>
  </si>
  <si>
    <t>0.100129</t>
  </si>
  <si>
    <t>0.100307</t>
  </si>
  <si>
    <t>0.100195</t>
  </si>
  <si>
    <t>0.100371</t>
  </si>
  <si>
    <t>0.100181</t>
  </si>
  <si>
    <t>0.100302</t>
  </si>
  <si>
    <t>0.100145</t>
  </si>
  <si>
    <t>0.100225</t>
  </si>
  <si>
    <t>0.100202</t>
  </si>
  <si>
    <t>0.100143</t>
  </si>
  <si>
    <t>0.100203</t>
  </si>
  <si>
    <t>0.100166</t>
  </si>
  <si>
    <t>0.10026</t>
  </si>
  <si>
    <t>0.10028</t>
  </si>
  <si>
    <t>0.100405</t>
  </si>
  <si>
    <t>0.0444444</t>
  </si>
  <si>
    <t>0.0186047</t>
  </si>
  <si>
    <t>0.0347826</t>
  </si>
  <si>
    <t>0.0102564</t>
  </si>
  <si>
    <t>0.0117647</t>
  </si>
  <si>
    <t>0.0210526</t>
  </si>
  <si>
    <t>0.0137931</t>
  </si>
  <si>
    <t>0.0242424</t>
  </si>
  <si>
    <t>0.0285714</t>
  </si>
  <si>
    <t>0.00860215</t>
  </si>
  <si>
    <t>0.00707965</t>
  </si>
  <si>
    <t>0.0166667</t>
  </si>
  <si>
    <t>0.0126984</t>
  </si>
  <si>
    <t>0.0150943</t>
  </si>
  <si>
    <t>0.0465473</t>
  </si>
  <si>
    <t>0.0396573</t>
  </si>
  <si>
    <t>0.059025</t>
  </si>
  <si>
    <t>0.0771967</t>
  </si>
  <si>
    <t>0.0490644</t>
  </si>
  <si>
    <t>0.0601905</t>
  </si>
  <si>
    <t>0.0660967</t>
  </si>
  <si>
    <t>0.0561441</t>
  </si>
  <si>
    <t>0.0474921</t>
  </si>
  <si>
    <t>0.0323978</t>
  </si>
  <si>
    <t>0.0558352</t>
  </si>
  <si>
    <t>0.0533873</t>
  </si>
  <si>
    <t>0.0530466</t>
  </si>
  <si>
    <t>0.0607099</t>
  </si>
  <si>
    <t>0.0675999</t>
  </si>
  <si>
    <t>0.0360071</t>
  </si>
  <si>
    <t>0.0547009</t>
  </si>
  <si>
    <t>0.0613888</t>
  </si>
  <si>
    <t>0.0482236</t>
  </si>
  <si>
    <t>0.0541299</t>
  </si>
  <si>
    <t>0.0684684</t>
  </si>
  <si>
    <t>0.0355252</t>
  </si>
  <si>
    <t>0.0506196</t>
  </si>
  <si>
    <t>0.0328173</t>
  </si>
  <si>
    <t>0.0188586</t>
  </si>
  <si>
    <t>0.0609221</t>
  </si>
  <si>
    <t>0.0717345</t>
  </si>
  <si>
    <t>0.0541563</t>
  </si>
  <si>
    <t>0.058592</t>
  </si>
  <si>
    <t>0.0304598</t>
  </si>
  <si>
    <t>0.0415859</t>
  </si>
  <si>
    <t>0.0375394</t>
  </si>
  <si>
    <t>0.0288874</t>
  </si>
  <si>
    <t>0.0658283</t>
  </si>
  <si>
    <t>0.0455541</t>
  </si>
  <si>
    <t>0.0421053</t>
  </si>
  <si>
    <t>0.0695652</t>
  </si>
  <si>
    <t>0.0717183</t>
  </si>
  <si>
    <t>0.0496241</t>
  </si>
  <si>
    <t>0.0515124</t>
  </si>
  <si>
    <t>0.033751</t>
  </si>
  <si>
    <t>0.0464495</t>
  </si>
  <si>
    <t>0.0348457</t>
  </si>
  <si>
    <t>0.0579935</t>
  </si>
  <si>
    <t>0.0631161</t>
  </si>
  <si>
    <t>0.0462635</t>
  </si>
  <si>
    <t>0.0555455</t>
  </si>
  <si>
    <t>0.0515241</t>
  </si>
  <si>
    <t>0.0428471</t>
  </si>
  <si>
    <t>0.0579414</t>
  </si>
  <si>
    <t>0.0452951</t>
  </si>
  <si>
    <t>0.0548657</t>
  </si>
  <si>
    <t>0.0528139</t>
  </si>
  <si>
    <t>0.0379672</t>
  </si>
  <si>
    <t>0.0438735</t>
  </si>
  <si>
    <t>0.0220211</t>
  </si>
  <si>
    <t>0.0252688</t>
  </si>
  <si>
    <t>0.0403632</t>
  </si>
  <si>
    <t>0.0430737</t>
  </si>
  <si>
    <t>0.0506656</t>
  </si>
  <si>
    <t>0.0281323</t>
  </si>
  <si>
    <t>0.0412698</t>
  </si>
  <si>
    <t>0.0725729</t>
  </si>
  <si>
    <t>0.0664656</t>
  </si>
  <si>
    <t>0.0571429</t>
  </si>
  <si>
    <t>0.0539683</t>
  </si>
  <si>
    <t>0.0447989</t>
  </si>
  <si>
    <t>0.0567037</t>
  </si>
  <si>
    <t>0.0629149</t>
  </si>
  <si>
    <t>0.0444594</t>
  </si>
  <si>
    <t>0.0503657</t>
  </si>
  <si>
    <t>0.031761</t>
  </si>
  <si>
    <t>0.0571578</t>
  </si>
  <si>
    <t>0.0313031</t>
  </si>
  <si>
    <t>0.0515391</t>
  </si>
  <si>
    <t>0.0599883</t>
  </si>
  <si>
    <t>0.0626385</t>
  </si>
  <si>
    <t>0.0277928</t>
  </si>
  <si>
    <t>0.0598745</t>
  </si>
  <si>
    <t>0.0293651</t>
  </si>
  <si>
    <t>0.0574453</t>
  </si>
  <si>
    <t>0.0658946</t>
  </si>
  <si>
    <t>0.0685447</t>
  </si>
  <si>
    <t>0.033699</t>
  </si>
  <si>
    <t>0.063354</t>
  </si>
  <si>
    <t>0.0352713</t>
  </si>
  <si>
    <t>0.0440015</t>
  </si>
  <si>
    <t>0.0388407</t>
  </si>
  <si>
    <t>0.0237463</t>
  </si>
  <si>
    <t>0.0356511</t>
  </si>
  <si>
    <t>0.0418623</t>
  </si>
  <si>
    <t>0.0601262</t>
  </si>
  <si>
    <t>0.0642375</t>
  </si>
  <si>
    <t>0.0562092</t>
  </si>
  <si>
    <t>0.0472899</t>
  </si>
  <si>
    <t>0.0485757</t>
  </si>
  <si>
    <t>0.0306233</t>
  </si>
  <si>
    <t>0.0726868</t>
  </si>
  <si>
    <t>0.0499401</t>
  </si>
  <si>
    <t>0.063303</t>
  </si>
  <si>
    <t>0.0631579</t>
  </si>
  <si>
    <t>0.0369408</t>
  </si>
  <si>
    <t>0.0471761</t>
  </si>
  <si>
    <t>0.0253968</t>
  </si>
  <si>
    <t>0.0520352</t>
  </si>
  <si>
    <t>0.0404912</t>
  </si>
  <si>
    <t>0.0738665</t>
  </si>
  <si>
    <t>0.0516759</t>
  </si>
  <si>
    <t>0.0420635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</si>
</sst>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1" fillId="2" borderId="2" xfId="0" applyFont="1" applyFill="1" applyBorder="1"/>
    <xf numFmtId="0" fontId="1" fillId="2" borderId="10" xfId="0" applyFont="1" applyFill="1" applyBorder="1"/>
    <xf numFmtId="0" fontId="0" fillId="3" borderId="2" xfId="0" applyFont="1" applyFill="1" applyBorder="1"/>
    <xf numFmtId="0" fontId="0" fillId="3" borderId="2" xfId="0" applyFont="1" applyFill="1" applyBorder="1" applyAlignment="1">
      <alignment horizontal="right"/>
    </xf>
    <xf numFmtId="0" fontId="0" fillId="2" borderId="3" xfId="0" applyFill="1" applyBorder="1"/>
    <xf numFmtId="0" fontId="0" fillId="2" borderId="1" xfId="0" applyFill="1" applyBorder="1"/>
    <xf numFmtId="0" fontId="0" fillId="3" borderId="3" xfId="0" applyFill="1" applyBorder="1"/>
    <xf numFmtId="0" fontId="0" fillId="3" borderId="1" xfId="0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11" xfId="0" applyBorder="1"/>
    <xf numFmtId="0" fontId="0" fillId="0" borderId="6" xfId="0" applyBorder="1"/>
    <xf numFmtId="0" fontId="0" fillId="2" borderId="2" xfId="0" applyFill="1" applyBorder="1"/>
    <xf numFmtId="0" fontId="0" fillId="2" borderId="9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3" xfId="0" applyFill="1" applyBorder="1"/>
    <xf numFmtId="0" fontId="0" fillId="2" borderId="12" xfId="0" applyFill="1" applyBorder="1"/>
    <xf numFmtId="0" fontId="0" fillId="2" borderId="5" xfId="0" applyFill="1" applyBorder="1"/>
    <xf numFmtId="0" fontId="0" fillId="2" borderId="15" xfId="0" applyFill="1" applyBorder="1"/>
    <xf numFmtId="0" fontId="0" fillId="0" borderId="14" xfId="0" applyBorder="1" applyAlignment="1">
      <alignment horizontal="center"/>
    </xf>
    <xf numFmtId="0" fontId="0" fillId="0" borderId="0" xfId="0" applyAlignment="1">
      <alignment horizontal="left"/>
    </xf>
    <xf numFmtId="0" fontId="1" fillId="2" borderId="2" xfId="0" applyFont="1" applyFill="1" applyBorder="1" applyAlignment="1">
      <alignment horizontal="right"/>
    </xf>
    <xf numFmtId="0" fontId="0" fillId="3" borderId="2" xfId="0" applyFill="1" applyBorder="1"/>
    <xf numFmtId="164" fontId="0" fillId="0" borderId="15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2" fillId="0" borderId="0" xfId="0" applyFont="1"/>
    <xf numFmtId="164" fontId="2" fillId="0" borderId="0" xfId="0" applyNumberFormat="1" applyFont="1"/>
    <xf numFmtId="0" fontId="0" fillId="0" borderId="2" xfId="0" applyBorder="1"/>
    <xf numFmtId="0" fontId="0" fillId="0" borderId="16" xfId="0" applyBorder="1"/>
    <xf numFmtId="0" fontId="0" fillId="0" borderId="2" xfId="0" applyFill="1" applyBorder="1"/>
    <xf numFmtId="0" fontId="3" fillId="4" borderId="17" xfId="0" applyFont="1" applyFill="1" applyBorder="1"/>
    <xf numFmtId="0" fontId="3" fillId="4" borderId="18" xfId="0" applyFont="1" applyFill="1" applyBorder="1"/>
    <xf numFmtId="0" fontId="0" fillId="5" borderId="2" xfId="0" applyFill="1" applyBorder="1"/>
    <xf numFmtId="165" fontId="0" fillId="0" borderId="1" xfId="0" applyNumberFormat="1" applyBorder="1"/>
    <xf numFmtId="1" fontId="0" fillId="0" borderId="1" xfId="0" applyNumberFormat="1" applyFill="1" applyBorder="1"/>
    <xf numFmtId="0" fontId="1" fillId="0" borderId="0" xfId="0" applyFont="1" applyFill="1" applyBorder="1" applyAlignment="1">
      <alignment horizontal="right"/>
    </xf>
    <xf numFmtId="11" fontId="0" fillId="0" borderId="0" xfId="0" applyNumberFormat="1" applyFill="1" applyBorder="1"/>
    <xf numFmtId="0" fontId="1" fillId="6" borderId="2" xfId="0" applyFont="1" applyFill="1" applyBorder="1" applyAlignment="1">
      <alignment horizontal="right"/>
    </xf>
    <xf numFmtId="0" fontId="0" fillId="6" borderId="2" xfId="0" applyFill="1" applyBorder="1"/>
    <xf numFmtId="0" fontId="6" fillId="2" borderId="2" xfId="0" applyFont="1" applyFill="1" applyBorder="1"/>
    <xf numFmtId="0" fontId="6" fillId="2" borderId="2" xfId="0" applyFont="1" applyFill="1" applyBorder="1" applyAlignment="1">
      <alignment horizontal="right"/>
    </xf>
    <xf numFmtId="0" fontId="7" fillId="6" borderId="2" xfId="0" applyFont="1" applyFill="1" applyBorder="1" applyAlignment="1">
      <alignment horizontal="right"/>
    </xf>
    <xf numFmtId="2" fontId="0" fillId="6" borderId="2" xfId="0" applyNumberFormat="1" applyFill="1" applyBorder="1"/>
    <xf numFmtId="0" fontId="0" fillId="0" borderId="0" xfId="0" applyAlignment="1">
      <alignment wrapText="1"/>
    </xf>
    <xf numFmtId="16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38</xdr:row>
          <xdr:rowOff>0</xdr:rowOff>
        </xdr:from>
        <xdr:to>
          <xdr:col>6</xdr:col>
          <xdr:colOff>0</xdr:colOff>
          <xdr:row>39</xdr:row>
          <xdr:rowOff>47625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out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пути_1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ut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E304"/>
  <sheetViews>
    <sheetView tabSelected="1" zoomScale="85" zoomScaleNormal="85" workbookViewId="0">
      <selection activeCell="H56" sqref="H56"/>
    </sheetView>
  </sheetViews>
  <sheetFormatPr defaultRowHeight="15" x14ac:dyDescent="0.25"/>
  <cols>
    <col min="2" max="2" width="11.42578125" customWidth="1"/>
    <col min="3" max="3" width="6.7109375" customWidth="1"/>
    <col min="4" max="4" width="8.28515625" customWidth="1"/>
    <col min="5" max="5" width="10.140625" customWidth="1"/>
    <col min="6" max="6" width="9.7109375" customWidth="1"/>
    <col min="7" max="7" width="6.7109375" customWidth="1"/>
    <col min="8" max="27" width="10.7109375" customWidth="1"/>
    <col min="29" max="29" width="7.28515625" hidden="1" customWidth="1"/>
    <col min="30" max="31" width="0" hidden="1" customWidth="1"/>
  </cols>
  <sheetData>
    <row r="1" spans="1:30" x14ac:dyDescent="0.25">
      <c r="A1" s="1" t="s">
        <v>12</v>
      </c>
    </row>
    <row r="2" spans="1:30" ht="15.75" thickBot="1" x14ac:dyDescent="0.3"/>
    <row r="3" spans="1:30" ht="15.75" thickBot="1" x14ac:dyDescent="0.3">
      <c r="A3" s="45" t="s">
        <v>16</v>
      </c>
      <c r="B3" s="6">
        <v>20</v>
      </c>
      <c r="C3" t="s">
        <v>8</v>
      </c>
      <c r="D3" s="46" t="s">
        <v>5</v>
      </c>
      <c r="E3" s="27">
        <v>200</v>
      </c>
      <c r="F3" t="s">
        <v>6</v>
      </c>
    </row>
    <row r="4" spans="1:30" ht="19.5" thickBot="1" x14ac:dyDescent="0.35">
      <c r="A4" s="4" t="s">
        <v>21</v>
      </c>
      <c r="B4" s="6">
        <v>0.1</v>
      </c>
      <c r="C4" t="s">
        <v>9</v>
      </c>
      <c r="D4" s="26" t="s">
        <v>22</v>
      </c>
      <c r="E4" s="27">
        <v>85600</v>
      </c>
      <c r="F4" s="25" t="s">
        <v>17</v>
      </c>
      <c r="G4" s="41"/>
      <c r="H4" s="42"/>
    </row>
    <row r="5" spans="1:30" ht="15.75" thickBot="1" x14ac:dyDescent="0.3">
      <c r="A5" s="5" t="s">
        <v>0</v>
      </c>
      <c r="B5" s="7" t="s">
        <v>1</v>
      </c>
      <c r="C5" t="s">
        <v>10</v>
      </c>
      <c r="D5" s="43" t="s">
        <v>23</v>
      </c>
      <c r="E5" s="48">
        <v>0.1</v>
      </c>
      <c r="F5" t="s">
        <v>7</v>
      </c>
    </row>
    <row r="6" spans="1:30" ht="15.75" thickBot="1" x14ac:dyDescent="0.3">
      <c r="D6" s="47" t="s">
        <v>19</v>
      </c>
      <c r="E6" s="44">
        <v>98</v>
      </c>
      <c r="F6" t="s">
        <v>20</v>
      </c>
    </row>
    <row r="7" spans="1:30" ht="15.75" thickBot="1" x14ac:dyDescent="0.3">
      <c r="A7" s="1" t="s">
        <v>2</v>
      </c>
      <c r="G7" s="1" t="s">
        <v>11</v>
      </c>
    </row>
    <row r="8" spans="1:30" ht="15.75" thickBot="1" x14ac:dyDescent="0.3">
      <c r="A8" s="12" t="s">
        <v>16</v>
      </c>
      <c r="B8" s="13" t="s">
        <v>24</v>
      </c>
      <c r="C8" t="s">
        <v>25</v>
      </c>
      <c r="D8" s="24" t="s">
        <v>4</v>
      </c>
      <c r="H8" s="16">
        <v>1</v>
      </c>
      <c r="I8" s="20">
        <v>2</v>
      </c>
      <c r="J8" s="21">
        <v>3</v>
      </c>
      <c r="K8" s="21">
        <v>4</v>
      </c>
      <c r="L8" s="21">
        <v>5</v>
      </c>
      <c r="M8" s="21">
        <v>6</v>
      </c>
      <c r="N8" s="21">
        <v>7</v>
      </c>
      <c r="O8" s="21">
        <v>8</v>
      </c>
      <c r="P8" s="21">
        <v>9</v>
      </c>
      <c r="Q8" s="21">
        <v>10</v>
      </c>
      <c r="R8" s="21">
        <v>11</v>
      </c>
      <c r="S8" s="21">
        <v>12</v>
      </c>
      <c r="T8" s="21">
        <v>13</v>
      </c>
      <c r="U8" s="21">
        <v>14</v>
      </c>
      <c r="V8" s="21">
        <v>15</v>
      </c>
      <c r="W8" s="21">
        <v>16</v>
      </c>
      <c r="X8" s="21">
        <v>17</v>
      </c>
      <c r="Y8" s="21">
        <v>18</v>
      </c>
      <c r="Z8" s="21">
        <v>19</v>
      </c>
      <c r="AA8" s="22">
        <v>20</v>
      </c>
    </row>
    <row r="9" spans="1:30" x14ac:dyDescent="0.25">
      <c r="A9" s="8">
        <v>1</v>
      </c>
      <c r="B9" s="10">
        <v>7916</v>
      </c>
      <c r="C9">
        <f>$B$4*B9</f>
        <v>791.6</v>
      </c>
      <c r="D9" s="28">
        <f>B9/$B$29</f>
        <v>6.1540853611132706E-2</v>
      </c>
      <c r="G9" s="23">
        <v>1</v>
      </c>
      <c r="H9" s="14">
        <v>0</v>
      </c>
      <c r="I9" s="3">
        <v>24.33963418006897</v>
      </c>
      <c r="J9" s="3"/>
      <c r="K9" s="3"/>
      <c r="L9" s="3">
        <v>57.964044809341431</v>
      </c>
      <c r="M9" s="3">
        <v>63.283306360244751</v>
      </c>
      <c r="N9" s="3">
        <v>92.041593790054321</v>
      </c>
      <c r="O9" s="3">
        <v>97.412735223770142</v>
      </c>
      <c r="P9" s="3">
        <v>34.133058786392212</v>
      </c>
      <c r="Q9" s="3">
        <v>8.5013926029205322</v>
      </c>
      <c r="R9" s="3"/>
      <c r="S9" s="3"/>
      <c r="T9" s="3">
        <v>43.920236825942993</v>
      </c>
      <c r="U9" s="3">
        <v>13.118892908096313</v>
      </c>
      <c r="V9" s="3"/>
      <c r="W9" s="3">
        <v>94.928985834121704</v>
      </c>
      <c r="X9" s="3">
        <v>40.450578927993774</v>
      </c>
      <c r="Y9" s="3">
        <v>30.260807275772095</v>
      </c>
      <c r="Z9" s="3">
        <v>84.720999002456665</v>
      </c>
      <c r="AA9" s="3"/>
      <c r="AC9" s="39">
        <f>SUM(H9:AA9)</f>
        <v>685.0762665271759</v>
      </c>
      <c r="AD9" s="2">
        <f>COUNTIF(H9:AA9,"&gt;0")</f>
        <v>13</v>
      </c>
    </row>
    <row r="10" spans="1:30" x14ac:dyDescent="0.25">
      <c r="A10" s="9">
        <v>2</v>
      </c>
      <c r="B10" s="11">
        <v>9084</v>
      </c>
      <c r="C10">
        <f t="shared" ref="C10:C28" si="0">$B$4*B10</f>
        <v>908.40000000000009</v>
      </c>
      <c r="D10" s="29">
        <f t="shared" ref="D10:D28" si="1">B10/$B$29</f>
        <v>7.0621161470885485E-2</v>
      </c>
      <c r="G10" s="17">
        <v>2</v>
      </c>
      <c r="H10" s="3">
        <v>24.33963418006897</v>
      </c>
      <c r="I10" s="2">
        <v>0</v>
      </c>
      <c r="J10" s="3"/>
      <c r="K10" s="2">
        <v>73.851078748703003</v>
      </c>
      <c r="L10" s="2"/>
      <c r="M10" s="3">
        <v>72.562569379806519</v>
      </c>
      <c r="N10" s="2">
        <v>92.031687498092651</v>
      </c>
      <c r="O10" s="2"/>
      <c r="P10" s="2">
        <v>14.018934965133667</v>
      </c>
      <c r="Q10" s="2">
        <v>65.85347056388855</v>
      </c>
      <c r="R10" s="3">
        <v>67.897051572799683</v>
      </c>
      <c r="S10" s="2">
        <v>54.964131116867065</v>
      </c>
      <c r="T10" s="2"/>
      <c r="U10" s="2"/>
      <c r="V10" s="2">
        <v>85.388392210006714</v>
      </c>
      <c r="W10" s="3">
        <v>91.943997144699097</v>
      </c>
      <c r="X10" s="3"/>
      <c r="Y10" s="3"/>
      <c r="Z10" s="2"/>
      <c r="AA10" s="2"/>
      <c r="AC10" s="39">
        <f t="shared" ref="AC10:AC28" si="2">SUM(H10:AA10)</f>
        <v>642.85094738006592</v>
      </c>
      <c r="AD10" s="2">
        <f t="shared" ref="AD10:AD28" si="3">COUNTIF(H10:AA10,"&gt;0")</f>
        <v>10</v>
      </c>
    </row>
    <row r="11" spans="1:30" x14ac:dyDescent="0.25">
      <c r="A11" s="9">
        <v>3</v>
      </c>
      <c r="B11" s="11">
        <v>7295</v>
      </c>
      <c r="C11">
        <f t="shared" si="0"/>
        <v>729.5</v>
      </c>
      <c r="D11" s="29">
        <f t="shared" si="1"/>
        <v>5.6713052942548393E-2</v>
      </c>
      <c r="G11" s="18">
        <v>3</v>
      </c>
      <c r="H11" s="3"/>
      <c r="I11" s="3"/>
      <c r="J11" s="2">
        <v>0</v>
      </c>
      <c r="K11" s="3">
        <v>49.044591188430786</v>
      </c>
      <c r="L11" s="2">
        <v>40.962821245193481</v>
      </c>
      <c r="M11" s="3"/>
      <c r="N11" s="3">
        <v>53.197413682937622</v>
      </c>
      <c r="O11" s="3"/>
      <c r="P11" s="3">
        <v>39.559203386306763</v>
      </c>
      <c r="Q11" s="3"/>
      <c r="R11" s="3">
        <v>75.438815355300903</v>
      </c>
      <c r="S11" s="3"/>
      <c r="T11" s="2">
        <v>61.226874589920044</v>
      </c>
      <c r="U11" s="2"/>
      <c r="V11" s="3">
        <v>22.314006090164185</v>
      </c>
      <c r="W11" s="3"/>
      <c r="X11" s="2"/>
      <c r="Y11" s="2">
        <v>19.070893526077271</v>
      </c>
      <c r="Z11" s="3">
        <v>96.947985887527466</v>
      </c>
      <c r="AA11" s="3">
        <v>68.552190065383911</v>
      </c>
      <c r="AC11" s="39">
        <f t="shared" si="2"/>
        <v>526.31479501724243</v>
      </c>
      <c r="AD11" s="2">
        <f t="shared" si="3"/>
        <v>10</v>
      </c>
    </row>
    <row r="12" spans="1:30" x14ac:dyDescent="0.25">
      <c r="A12" s="9">
        <v>4</v>
      </c>
      <c r="B12" s="11">
        <v>6958</v>
      </c>
      <c r="C12">
        <f t="shared" si="0"/>
        <v>695.80000000000007</v>
      </c>
      <c r="D12" s="29">
        <f t="shared" si="1"/>
        <v>5.4093135349451919E-2</v>
      </c>
      <c r="G12" s="18">
        <v>4</v>
      </c>
      <c r="H12" s="3"/>
      <c r="I12" s="2">
        <v>73.851078748703003</v>
      </c>
      <c r="J12" s="3">
        <v>49.044591188430786</v>
      </c>
      <c r="K12" s="2">
        <v>0</v>
      </c>
      <c r="L12" s="3">
        <v>61.082500219345093</v>
      </c>
      <c r="M12" s="3"/>
      <c r="N12" s="2">
        <v>4.9828946590423584</v>
      </c>
      <c r="O12" s="3">
        <v>29.041093587875366</v>
      </c>
      <c r="P12" s="2">
        <v>78.528064489364624</v>
      </c>
      <c r="Q12" s="2"/>
      <c r="R12" s="3">
        <v>60.23363471031189</v>
      </c>
      <c r="S12" s="2">
        <v>43.331140279769897</v>
      </c>
      <c r="T12" s="2"/>
      <c r="U12" s="2">
        <v>39.181607961654663</v>
      </c>
      <c r="V12" s="2">
        <v>87.188476324081421</v>
      </c>
      <c r="W12" s="2"/>
      <c r="X12" s="3"/>
      <c r="Y12" s="2"/>
      <c r="Z12" s="2"/>
      <c r="AA12" s="2">
        <v>48.74228835105896</v>
      </c>
      <c r="AC12" s="39">
        <f t="shared" si="2"/>
        <v>575.20737051963806</v>
      </c>
      <c r="AD12" s="2">
        <f t="shared" si="3"/>
        <v>11</v>
      </c>
    </row>
    <row r="13" spans="1:30" x14ac:dyDescent="0.25">
      <c r="A13" s="9">
        <v>5</v>
      </c>
      <c r="B13" s="11">
        <v>8765</v>
      </c>
      <c r="C13">
        <f t="shared" si="0"/>
        <v>876.5</v>
      </c>
      <c r="D13" s="29">
        <f t="shared" si="1"/>
        <v>6.814118012905232E-2</v>
      </c>
      <c r="G13" s="18">
        <v>5</v>
      </c>
      <c r="H13" s="3">
        <v>57.964044809341431</v>
      </c>
      <c r="I13" s="2"/>
      <c r="J13" s="2">
        <v>40.962821245193481</v>
      </c>
      <c r="K13" s="3">
        <v>61.082500219345093</v>
      </c>
      <c r="L13" s="2">
        <v>0</v>
      </c>
      <c r="M13" s="2">
        <v>10.120779275894165</v>
      </c>
      <c r="N13" s="2">
        <v>32.697731256484985</v>
      </c>
      <c r="O13" s="3"/>
      <c r="P13" s="2">
        <v>61.205822229385376</v>
      </c>
      <c r="Q13" s="2"/>
      <c r="R13" s="3"/>
      <c r="S13" s="3">
        <v>61.523348093032837</v>
      </c>
      <c r="T13" s="3">
        <v>57.693439722061157</v>
      </c>
      <c r="U13" s="2">
        <v>47.029119729995728</v>
      </c>
      <c r="V13" s="2">
        <v>13.954216241836548</v>
      </c>
      <c r="W13" s="2"/>
      <c r="X13" s="2">
        <v>76.080471277236938</v>
      </c>
      <c r="Y13" s="2"/>
      <c r="Z13" s="2"/>
      <c r="AA13" s="3"/>
      <c r="AC13" s="39">
        <f t="shared" si="2"/>
        <v>520.31429409980774</v>
      </c>
      <c r="AD13" s="2">
        <f t="shared" si="3"/>
        <v>11</v>
      </c>
    </row>
    <row r="14" spans="1:30" x14ac:dyDescent="0.25">
      <c r="A14" s="9">
        <v>6</v>
      </c>
      <c r="B14" s="11">
        <v>4897</v>
      </c>
      <c r="C14">
        <f t="shared" si="0"/>
        <v>489.70000000000005</v>
      </c>
      <c r="D14" s="29">
        <f t="shared" si="1"/>
        <v>3.8070434579802533E-2</v>
      </c>
      <c r="G14" s="18">
        <v>6</v>
      </c>
      <c r="H14" s="15">
        <v>63.283306360244751</v>
      </c>
      <c r="I14" s="3">
        <v>72.562569379806519</v>
      </c>
      <c r="J14" s="3"/>
      <c r="K14" s="3"/>
      <c r="L14" s="2">
        <v>10.120779275894165</v>
      </c>
      <c r="M14" s="2">
        <v>0</v>
      </c>
      <c r="N14" s="2">
        <v>86.940830945968628</v>
      </c>
      <c r="O14" s="3">
        <v>94.444006681442261</v>
      </c>
      <c r="P14" s="2">
        <v>42.927712202072144</v>
      </c>
      <c r="Q14" s="3"/>
      <c r="R14" s="2"/>
      <c r="S14" s="2">
        <v>99.594038724899292</v>
      </c>
      <c r="T14" s="3">
        <v>97.644394636154175</v>
      </c>
      <c r="U14" s="2"/>
      <c r="V14" s="2">
        <v>90.90544581413269</v>
      </c>
      <c r="W14" s="3">
        <v>19.807547330856323</v>
      </c>
      <c r="X14" s="2"/>
      <c r="Y14" s="2">
        <v>81.852167844772339</v>
      </c>
      <c r="Z14" s="2"/>
      <c r="AA14" s="2">
        <v>33.209532499313354</v>
      </c>
      <c r="AC14" s="39">
        <f t="shared" si="2"/>
        <v>793.29233169555664</v>
      </c>
      <c r="AD14" s="2">
        <f t="shared" si="3"/>
        <v>12</v>
      </c>
    </row>
    <row r="15" spans="1:30" x14ac:dyDescent="0.25">
      <c r="A15" s="9">
        <v>7</v>
      </c>
      <c r="B15" s="11">
        <v>9029</v>
      </c>
      <c r="C15">
        <f t="shared" si="0"/>
        <v>902.90000000000009</v>
      </c>
      <c r="D15" s="29">
        <f t="shared" si="1"/>
        <v>7.0193578480914245E-2</v>
      </c>
      <c r="G15" s="18">
        <v>7</v>
      </c>
      <c r="H15" s="15">
        <v>92.041593790054321</v>
      </c>
      <c r="I15" s="2">
        <v>92.031687498092651</v>
      </c>
      <c r="J15" s="3">
        <v>53.197413682937622</v>
      </c>
      <c r="K15" s="2">
        <v>4.9828946590423584</v>
      </c>
      <c r="L15" s="2">
        <v>32.697731256484985</v>
      </c>
      <c r="M15" s="2">
        <v>86.940830945968628</v>
      </c>
      <c r="N15" s="2">
        <v>0</v>
      </c>
      <c r="O15" s="2">
        <v>0.49422383308410645</v>
      </c>
      <c r="P15" s="2"/>
      <c r="Q15" s="3"/>
      <c r="R15" s="2">
        <v>2.0637333393096924</v>
      </c>
      <c r="S15" s="2"/>
      <c r="T15" s="2">
        <v>36.426621675491333</v>
      </c>
      <c r="U15" s="3"/>
      <c r="V15" s="3">
        <v>58.002644777297974</v>
      </c>
      <c r="W15" s="3"/>
      <c r="X15" s="2">
        <v>79.682427644729614</v>
      </c>
      <c r="Y15" s="2">
        <v>42.05048680305481</v>
      </c>
      <c r="Z15" s="2"/>
      <c r="AA15" s="3">
        <v>42.74333119392395</v>
      </c>
      <c r="AC15" s="39">
        <f t="shared" si="2"/>
        <v>623.35562109947205</v>
      </c>
      <c r="AD15" s="2">
        <f t="shared" si="3"/>
        <v>13</v>
      </c>
    </row>
    <row r="16" spans="1:30" x14ac:dyDescent="0.25">
      <c r="A16" s="9">
        <v>8</v>
      </c>
      <c r="B16" s="11">
        <v>9484</v>
      </c>
      <c r="C16">
        <f t="shared" si="0"/>
        <v>948.40000000000009</v>
      </c>
      <c r="D16" s="29">
        <f t="shared" si="1"/>
        <v>7.3730855943403562E-2</v>
      </c>
      <c r="G16" s="18">
        <v>8</v>
      </c>
      <c r="H16" s="15">
        <v>97.412735223770142</v>
      </c>
      <c r="I16" s="2"/>
      <c r="J16" s="3"/>
      <c r="K16" s="3">
        <v>29.041093587875366</v>
      </c>
      <c r="L16" s="3"/>
      <c r="M16" s="3">
        <v>94.444006681442261</v>
      </c>
      <c r="N16" s="2">
        <v>0.49422383308410645</v>
      </c>
      <c r="O16" s="2">
        <v>0</v>
      </c>
      <c r="P16" s="3"/>
      <c r="Q16" s="2">
        <v>1.9471585750579834</v>
      </c>
      <c r="R16" s="2"/>
      <c r="S16" s="3"/>
      <c r="T16" s="2">
        <v>48.479360342025757</v>
      </c>
      <c r="U16" s="2"/>
      <c r="V16" s="2">
        <v>82.702630758285522</v>
      </c>
      <c r="W16" s="2"/>
      <c r="X16" s="3"/>
      <c r="Y16" s="2">
        <v>28.879302740097046</v>
      </c>
      <c r="Z16" s="2"/>
      <c r="AA16" s="3">
        <v>81.403964757919312</v>
      </c>
      <c r="AC16" s="39">
        <f t="shared" si="2"/>
        <v>464.8044764995575</v>
      </c>
      <c r="AD16" s="2">
        <f t="shared" si="3"/>
        <v>9</v>
      </c>
    </row>
    <row r="17" spans="1:31" x14ac:dyDescent="0.25">
      <c r="A17" s="9">
        <v>9</v>
      </c>
      <c r="B17" s="11">
        <v>7254</v>
      </c>
      <c r="C17">
        <f t="shared" si="0"/>
        <v>725.40000000000009</v>
      </c>
      <c r="D17" s="29">
        <f t="shared" si="1"/>
        <v>5.6394309259115295E-2</v>
      </c>
      <c r="G17" s="18">
        <v>9</v>
      </c>
      <c r="H17" s="15">
        <v>34.133058786392212</v>
      </c>
      <c r="I17" s="2">
        <v>14.018934965133667</v>
      </c>
      <c r="J17" s="3">
        <v>39.559203386306763</v>
      </c>
      <c r="K17" s="2">
        <v>78.528064489364624</v>
      </c>
      <c r="L17" s="2">
        <v>61.205822229385376</v>
      </c>
      <c r="M17" s="2">
        <v>42.927712202072144</v>
      </c>
      <c r="N17" s="2"/>
      <c r="O17" s="3"/>
      <c r="P17" s="2">
        <v>0</v>
      </c>
      <c r="Q17" s="2">
        <v>81.93860650062561</v>
      </c>
      <c r="R17" s="3"/>
      <c r="S17" s="3"/>
      <c r="T17" s="3">
        <v>74.068266153335571</v>
      </c>
      <c r="U17" s="2"/>
      <c r="V17" s="2">
        <v>42.429262399673462</v>
      </c>
      <c r="W17" s="2"/>
      <c r="X17" s="3">
        <v>44.194799661636353</v>
      </c>
      <c r="Y17" s="3">
        <v>65.734153985977173</v>
      </c>
      <c r="Z17" s="3">
        <v>48.505502939224243</v>
      </c>
      <c r="AA17" s="3"/>
      <c r="AC17" s="39">
        <f t="shared" si="2"/>
        <v>627.2433876991272</v>
      </c>
      <c r="AD17" s="2">
        <f t="shared" si="3"/>
        <v>12</v>
      </c>
    </row>
    <row r="18" spans="1:31" x14ac:dyDescent="0.25">
      <c r="A18" s="9">
        <v>10</v>
      </c>
      <c r="B18" s="11">
        <v>2479</v>
      </c>
      <c r="C18">
        <f t="shared" si="0"/>
        <v>247.9</v>
      </c>
      <c r="D18" s="29">
        <f t="shared" si="1"/>
        <v>1.9272331493430772E-2</v>
      </c>
      <c r="G18" s="18">
        <v>10</v>
      </c>
      <c r="H18" s="3">
        <v>8.5013926029205322</v>
      </c>
      <c r="I18" s="2">
        <v>65.85347056388855</v>
      </c>
      <c r="J18" s="3"/>
      <c r="K18" s="2"/>
      <c r="L18" s="2"/>
      <c r="M18" s="3"/>
      <c r="N18" s="3"/>
      <c r="O18" s="2">
        <v>1.9471585750579834</v>
      </c>
      <c r="P18" s="2">
        <v>81.93860650062561</v>
      </c>
      <c r="Q18" s="2">
        <v>0</v>
      </c>
      <c r="R18" s="3">
        <v>15.858954191207886</v>
      </c>
      <c r="S18" s="2">
        <v>57.433480024337769</v>
      </c>
      <c r="T18" s="2"/>
      <c r="U18" s="2"/>
      <c r="V18" s="3"/>
      <c r="W18" s="3"/>
      <c r="X18" s="3">
        <v>88.363665342330933</v>
      </c>
      <c r="Y18" s="3"/>
      <c r="Z18" s="3">
        <v>95.324057340621948</v>
      </c>
      <c r="AA18" s="3"/>
      <c r="AC18" s="39">
        <f t="shared" si="2"/>
        <v>415.22078514099121</v>
      </c>
      <c r="AD18" s="2">
        <f t="shared" si="3"/>
        <v>8</v>
      </c>
    </row>
    <row r="19" spans="1:31" x14ac:dyDescent="0.25">
      <c r="A19" s="9">
        <v>11</v>
      </c>
      <c r="B19" s="11">
        <v>3384</v>
      </c>
      <c r="C19">
        <f t="shared" si="0"/>
        <v>338.40000000000003</v>
      </c>
      <c r="D19" s="29">
        <f t="shared" si="1"/>
        <v>2.6308015237502914E-2</v>
      </c>
      <c r="G19" s="18">
        <v>11</v>
      </c>
      <c r="H19" s="3"/>
      <c r="I19" s="3">
        <v>67.897051572799683</v>
      </c>
      <c r="J19" s="3">
        <v>75.438815355300903</v>
      </c>
      <c r="K19" s="3">
        <v>60.23363471031189</v>
      </c>
      <c r="L19" s="3"/>
      <c r="M19" s="2"/>
      <c r="N19" s="2">
        <v>2.0637333393096924</v>
      </c>
      <c r="O19" s="2"/>
      <c r="P19" s="3"/>
      <c r="Q19" s="3">
        <v>15.858954191207886</v>
      </c>
      <c r="R19" s="2">
        <v>0</v>
      </c>
      <c r="S19" s="2"/>
      <c r="T19" s="3">
        <v>3.6078751087188721</v>
      </c>
      <c r="U19" s="2"/>
      <c r="V19" s="2"/>
      <c r="W19" s="2">
        <v>71.373063325881958</v>
      </c>
      <c r="X19" s="3"/>
      <c r="Y19" s="2"/>
      <c r="Z19" s="2">
        <v>38.883429765701294</v>
      </c>
      <c r="AA19" s="2">
        <v>79.960900545120239</v>
      </c>
      <c r="AC19" s="39">
        <f t="shared" si="2"/>
        <v>415.31745791435242</v>
      </c>
      <c r="AD19" s="2">
        <f t="shared" si="3"/>
        <v>9</v>
      </c>
    </row>
    <row r="20" spans="1:31" x14ac:dyDescent="0.25">
      <c r="A20" s="9">
        <v>12</v>
      </c>
      <c r="B20" s="11">
        <v>4371</v>
      </c>
      <c r="C20">
        <f t="shared" si="0"/>
        <v>437.1</v>
      </c>
      <c r="D20" s="29">
        <f t="shared" si="1"/>
        <v>3.3981186348441265E-2</v>
      </c>
      <c r="G20" s="18">
        <v>12</v>
      </c>
      <c r="H20" s="3"/>
      <c r="I20" s="2">
        <v>54.964131116867065</v>
      </c>
      <c r="J20" s="3"/>
      <c r="K20" s="2">
        <v>43.331140279769897</v>
      </c>
      <c r="L20" s="3">
        <v>61.523348093032837</v>
      </c>
      <c r="M20" s="2">
        <v>99.594038724899292</v>
      </c>
      <c r="N20" s="2"/>
      <c r="O20" s="3"/>
      <c r="P20" s="3"/>
      <c r="Q20" s="2">
        <v>57.433480024337769</v>
      </c>
      <c r="R20" s="2"/>
      <c r="S20" s="2">
        <v>0</v>
      </c>
      <c r="T20" s="3"/>
      <c r="U20" s="2"/>
      <c r="V20" s="2">
        <v>10.835498571395874</v>
      </c>
      <c r="W20" s="3">
        <v>77.059835195541382</v>
      </c>
      <c r="X20" s="2"/>
      <c r="Y20" s="3"/>
      <c r="Z20" s="3"/>
      <c r="AA20" s="2"/>
      <c r="AC20" s="39">
        <f t="shared" si="2"/>
        <v>404.74147200584412</v>
      </c>
      <c r="AD20" s="2">
        <f t="shared" si="3"/>
        <v>7</v>
      </c>
    </row>
    <row r="21" spans="1:31" x14ac:dyDescent="0.25">
      <c r="A21" s="9">
        <v>13</v>
      </c>
      <c r="B21" s="11">
        <v>9992</v>
      </c>
      <c r="C21">
        <f t="shared" si="0"/>
        <v>999.2</v>
      </c>
      <c r="D21" s="29">
        <f t="shared" si="1"/>
        <v>7.768016792350152E-2</v>
      </c>
      <c r="G21" s="18">
        <v>13</v>
      </c>
      <c r="H21" s="3">
        <v>43.920236825942993</v>
      </c>
      <c r="I21" s="2"/>
      <c r="J21" s="2">
        <v>61.226874589920044</v>
      </c>
      <c r="K21" s="2"/>
      <c r="L21" s="3">
        <v>57.693439722061157</v>
      </c>
      <c r="M21" s="3">
        <v>97.644394636154175</v>
      </c>
      <c r="N21" s="2">
        <v>36.426621675491333</v>
      </c>
      <c r="O21" s="2">
        <v>48.479360342025757</v>
      </c>
      <c r="P21" s="3">
        <v>74.068266153335571</v>
      </c>
      <c r="Q21" s="2"/>
      <c r="R21" s="3">
        <v>3.6078751087188721</v>
      </c>
      <c r="S21" s="3"/>
      <c r="T21" s="2">
        <v>0</v>
      </c>
      <c r="U21" s="3">
        <v>18.748193979263306</v>
      </c>
      <c r="V21" s="3">
        <v>5.097728967666626</v>
      </c>
      <c r="W21" s="2"/>
      <c r="X21" s="2">
        <v>5.1939547061920166</v>
      </c>
      <c r="Y21" s="3"/>
      <c r="Z21" s="3">
        <v>54.124408960342407</v>
      </c>
      <c r="AA21" s="2">
        <v>19.876104593276978</v>
      </c>
      <c r="AC21" s="39">
        <f t="shared" si="2"/>
        <v>526.10746026039124</v>
      </c>
      <c r="AD21" s="2">
        <f t="shared" si="3"/>
        <v>13</v>
      </c>
    </row>
    <row r="22" spans="1:31" x14ac:dyDescent="0.25">
      <c r="A22" s="9">
        <v>14</v>
      </c>
      <c r="B22" s="11">
        <v>7318</v>
      </c>
      <c r="C22">
        <f t="shared" si="0"/>
        <v>731.80000000000007</v>
      </c>
      <c r="D22" s="29">
        <f t="shared" si="1"/>
        <v>5.6891860374718183E-2</v>
      </c>
      <c r="G22" s="18">
        <v>14</v>
      </c>
      <c r="H22" s="15">
        <v>13.118892908096313</v>
      </c>
      <c r="I22" s="2"/>
      <c r="J22" s="2"/>
      <c r="K22" s="2">
        <v>39.181607961654663</v>
      </c>
      <c r="L22" s="2">
        <v>47.029119729995728</v>
      </c>
      <c r="M22" s="2"/>
      <c r="N22" s="3"/>
      <c r="O22" s="2"/>
      <c r="P22" s="2"/>
      <c r="Q22" s="2"/>
      <c r="R22" s="2"/>
      <c r="S22" s="2"/>
      <c r="T22" s="3">
        <v>18.748193979263306</v>
      </c>
      <c r="U22" s="2">
        <v>0</v>
      </c>
      <c r="V22" s="2">
        <v>16.079872846603394</v>
      </c>
      <c r="W22" s="2"/>
      <c r="X22" s="3">
        <v>78.859966993331909</v>
      </c>
      <c r="Y22" s="3"/>
      <c r="Z22" s="3">
        <v>43.648117780685425</v>
      </c>
      <c r="AA22" s="2"/>
      <c r="AC22" s="39">
        <f t="shared" si="2"/>
        <v>256.66577219963074</v>
      </c>
      <c r="AD22" s="2">
        <f t="shared" si="3"/>
        <v>7</v>
      </c>
    </row>
    <row r="23" spans="1:31" x14ac:dyDescent="0.25">
      <c r="A23" s="9">
        <v>15</v>
      </c>
      <c r="B23" s="11">
        <v>5953</v>
      </c>
      <c r="C23">
        <f t="shared" si="0"/>
        <v>595.30000000000007</v>
      </c>
      <c r="D23" s="29">
        <f t="shared" si="1"/>
        <v>4.6280027987250255E-2</v>
      </c>
      <c r="G23" s="18">
        <v>15</v>
      </c>
      <c r="H23" s="15"/>
      <c r="I23" s="2">
        <v>85.388392210006714</v>
      </c>
      <c r="J23" s="3">
        <v>22.314006090164185</v>
      </c>
      <c r="K23" s="2">
        <v>87.188476324081421</v>
      </c>
      <c r="L23" s="2">
        <v>13.954216241836548</v>
      </c>
      <c r="M23" s="2">
        <v>90.90544581413269</v>
      </c>
      <c r="N23" s="3">
        <v>58.002644777297974</v>
      </c>
      <c r="O23" s="2">
        <v>82.702630758285522</v>
      </c>
      <c r="P23" s="2">
        <v>42.429262399673462</v>
      </c>
      <c r="Q23" s="3"/>
      <c r="R23" s="2"/>
      <c r="S23" s="2">
        <v>10.835498571395874</v>
      </c>
      <c r="T23" s="3">
        <v>5.097728967666626</v>
      </c>
      <c r="U23" s="2">
        <v>16.079872846603394</v>
      </c>
      <c r="V23" s="2">
        <v>0</v>
      </c>
      <c r="W23" s="2"/>
      <c r="X23" s="3"/>
      <c r="Y23" s="2"/>
      <c r="Z23" s="3"/>
      <c r="AA23" s="3">
        <v>96.074038743972778</v>
      </c>
      <c r="AC23" s="39">
        <f t="shared" si="2"/>
        <v>610.97221374511719</v>
      </c>
      <c r="AD23" s="2">
        <f t="shared" si="3"/>
        <v>12</v>
      </c>
    </row>
    <row r="24" spans="1:31" x14ac:dyDescent="0.25">
      <c r="A24" s="9">
        <v>16</v>
      </c>
      <c r="B24" s="11">
        <v>1647</v>
      </c>
      <c r="C24">
        <f t="shared" si="0"/>
        <v>164.70000000000002</v>
      </c>
      <c r="D24" s="29">
        <f t="shared" si="1"/>
        <v>1.2804166990593174E-2</v>
      </c>
      <c r="G24" s="18">
        <v>16</v>
      </c>
      <c r="H24" s="15">
        <v>94.928985834121704</v>
      </c>
      <c r="I24" s="3">
        <v>91.943997144699097</v>
      </c>
      <c r="J24" s="3"/>
      <c r="K24" s="2"/>
      <c r="L24" s="2"/>
      <c r="M24" s="3">
        <v>19.807547330856323</v>
      </c>
      <c r="N24" s="3"/>
      <c r="O24" s="2"/>
      <c r="P24" s="2"/>
      <c r="Q24" s="3"/>
      <c r="R24" s="2">
        <v>71.373063325881958</v>
      </c>
      <c r="S24" s="3">
        <v>77.059835195541382</v>
      </c>
      <c r="T24" s="2"/>
      <c r="U24" s="2"/>
      <c r="V24" s="2"/>
      <c r="W24" s="2">
        <v>0</v>
      </c>
      <c r="X24" s="3">
        <v>28.112596273422241</v>
      </c>
      <c r="Y24" s="2">
        <v>96.325153112411499</v>
      </c>
      <c r="Z24" s="2">
        <v>31.030935049057007</v>
      </c>
      <c r="AA24" s="2">
        <v>38.138145208358765</v>
      </c>
      <c r="AC24" s="39">
        <f t="shared" si="2"/>
        <v>548.72025847434998</v>
      </c>
      <c r="AD24" s="2">
        <f t="shared" si="3"/>
        <v>9</v>
      </c>
    </row>
    <row r="25" spans="1:31" x14ac:dyDescent="0.25">
      <c r="A25" s="9">
        <v>17</v>
      </c>
      <c r="B25" s="11">
        <v>5455</v>
      </c>
      <c r="C25">
        <f t="shared" si="0"/>
        <v>545.5</v>
      </c>
      <c r="D25" s="29">
        <f t="shared" si="1"/>
        <v>4.240845836896525E-2</v>
      </c>
      <c r="G25" s="18">
        <v>17</v>
      </c>
      <c r="H25" s="15">
        <v>40.450578927993774</v>
      </c>
      <c r="I25" s="3"/>
      <c r="J25" s="2"/>
      <c r="K25" s="3"/>
      <c r="L25" s="2">
        <v>76.080471277236938</v>
      </c>
      <c r="M25" s="2"/>
      <c r="N25" s="2">
        <v>79.682427644729614</v>
      </c>
      <c r="O25" s="3"/>
      <c r="P25" s="3">
        <v>44.194799661636353</v>
      </c>
      <c r="Q25" s="3">
        <v>88.363665342330933</v>
      </c>
      <c r="R25" s="3"/>
      <c r="S25" s="2"/>
      <c r="T25" s="2">
        <v>5.1939547061920166</v>
      </c>
      <c r="U25" s="3">
        <v>78.859966993331909</v>
      </c>
      <c r="V25" s="3"/>
      <c r="W25" s="3">
        <v>28.112596273422241</v>
      </c>
      <c r="X25" s="2">
        <v>0</v>
      </c>
      <c r="Y25" s="3"/>
      <c r="Z25" s="2"/>
      <c r="AA25" s="2"/>
      <c r="AC25" s="39">
        <f t="shared" si="2"/>
        <v>440.93846082687378</v>
      </c>
      <c r="AD25" s="2">
        <f t="shared" si="3"/>
        <v>8</v>
      </c>
    </row>
    <row r="26" spans="1:31" x14ac:dyDescent="0.25">
      <c r="A26" s="9">
        <v>18</v>
      </c>
      <c r="B26" s="11">
        <v>7300</v>
      </c>
      <c r="C26">
        <f t="shared" si="0"/>
        <v>730</v>
      </c>
      <c r="D26" s="29">
        <f t="shared" si="1"/>
        <v>5.6751924123454874E-2</v>
      </c>
      <c r="G26" s="18">
        <v>18</v>
      </c>
      <c r="H26" s="15">
        <v>30.260807275772095</v>
      </c>
      <c r="I26" s="3"/>
      <c r="J26" s="2">
        <v>19.070893526077271</v>
      </c>
      <c r="K26" s="2"/>
      <c r="L26" s="2"/>
      <c r="M26" s="2">
        <v>81.852167844772339</v>
      </c>
      <c r="N26" s="2">
        <v>42.05048680305481</v>
      </c>
      <c r="O26" s="2">
        <v>28.879302740097046</v>
      </c>
      <c r="P26" s="3">
        <v>65.734153985977173</v>
      </c>
      <c r="Q26" s="3"/>
      <c r="R26" s="2"/>
      <c r="S26" s="3"/>
      <c r="T26" s="3"/>
      <c r="U26" s="3"/>
      <c r="V26" s="2"/>
      <c r="W26" s="2">
        <v>96.325153112411499</v>
      </c>
      <c r="X26" s="3"/>
      <c r="Y26" s="2">
        <v>0</v>
      </c>
      <c r="Z26" s="3">
        <v>51.324290037155151</v>
      </c>
      <c r="AA26" s="2"/>
      <c r="AC26" s="39">
        <f t="shared" si="2"/>
        <v>415.49725532531738</v>
      </c>
      <c r="AD26" s="2">
        <f t="shared" si="3"/>
        <v>8</v>
      </c>
    </row>
    <row r="27" spans="1:31" x14ac:dyDescent="0.25">
      <c r="A27" s="9">
        <v>19</v>
      </c>
      <c r="B27" s="11">
        <v>4146</v>
      </c>
      <c r="C27">
        <f t="shared" si="0"/>
        <v>414.6</v>
      </c>
      <c r="D27" s="29">
        <f t="shared" si="1"/>
        <v>3.2231983207649847E-2</v>
      </c>
      <c r="G27" s="18">
        <v>19</v>
      </c>
      <c r="H27" s="15">
        <v>84.720999002456665</v>
      </c>
      <c r="I27" s="2"/>
      <c r="J27" s="3">
        <v>96.947985887527466</v>
      </c>
      <c r="K27" s="2"/>
      <c r="L27" s="2"/>
      <c r="M27" s="2"/>
      <c r="N27" s="2"/>
      <c r="O27" s="2"/>
      <c r="P27" s="3">
        <v>48.505502939224243</v>
      </c>
      <c r="Q27" s="3">
        <v>95.324057340621948</v>
      </c>
      <c r="R27" s="2">
        <v>38.883429765701294</v>
      </c>
      <c r="S27" s="3"/>
      <c r="T27" s="3">
        <v>54.124408960342407</v>
      </c>
      <c r="U27" s="3">
        <v>43.648117780685425</v>
      </c>
      <c r="V27" s="3"/>
      <c r="W27" s="2">
        <v>31.030935049057007</v>
      </c>
      <c r="X27" s="2"/>
      <c r="Y27" s="3">
        <v>51.324290037155151</v>
      </c>
      <c r="Z27" s="2">
        <v>0</v>
      </c>
      <c r="AA27" s="3"/>
      <c r="AC27" s="39">
        <f t="shared" si="2"/>
        <v>544.50972676277161</v>
      </c>
      <c r="AD27" s="2">
        <f t="shared" si="3"/>
        <v>9</v>
      </c>
    </row>
    <row r="28" spans="1:31" ht="15.75" thickBot="1" x14ac:dyDescent="0.3">
      <c r="A28" s="9">
        <v>20</v>
      </c>
      <c r="B28" s="11">
        <v>5903</v>
      </c>
      <c r="C28">
        <f t="shared" si="0"/>
        <v>590.30000000000007</v>
      </c>
      <c r="D28" s="30">
        <f t="shared" si="1"/>
        <v>4.5891316178185496E-2</v>
      </c>
      <c r="G28" s="19">
        <v>20</v>
      </c>
      <c r="H28" s="15"/>
      <c r="I28" s="2"/>
      <c r="J28" s="3">
        <v>68.552190065383911</v>
      </c>
      <c r="K28" s="2">
        <v>48.74228835105896</v>
      </c>
      <c r="L28" s="3"/>
      <c r="M28" s="2">
        <v>33.209532499313354</v>
      </c>
      <c r="N28" s="3">
        <v>42.74333119392395</v>
      </c>
      <c r="O28" s="3">
        <v>81.403964757919312</v>
      </c>
      <c r="P28" s="3"/>
      <c r="Q28" s="3"/>
      <c r="R28" s="2">
        <v>79.960900545120239</v>
      </c>
      <c r="S28" s="2"/>
      <c r="T28" s="2">
        <v>19.876104593276978</v>
      </c>
      <c r="U28" s="2"/>
      <c r="V28" s="3">
        <v>96.074038743972778</v>
      </c>
      <c r="W28" s="2">
        <v>38.138145208358765</v>
      </c>
      <c r="X28" s="2"/>
      <c r="Y28" s="2"/>
      <c r="Z28" s="3"/>
      <c r="AA28" s="2">
        <v>0</v>
      </c>
      <c r="AC28" s="39">
        <f t="shared" si="2"/>
        <v>508.70049595832825</v>
      </c>
      <c r="AD28" s="2">
        <f t="shared" si="3"/>
        <v>9</v>
      </c>
    </row>
    <row r="29" spans="1:31" x14ac:dyDescent="0.25">
      <c r="A29" s="1" t="s">
        <v>3</v>
      </c>
      <c r="B29" s="31">
        <f>SUM(B9:B28)</f>
        <v>128630</v>
      </c>
      <c r="C29">
        <f>SUM(C9:C28)</f>
        <v>12862.999999999998</v>
      </c>
      <c r="D29" s="32">
        <f>SUM(D9:D28)</f>
        <v>1</v>
      </c>
      <c r="AB29" s="31">
        <f>SUM(H9:AA28)</f>
        <v>10545.850849151611</v>
      </c>
    </row>
    <row r="30" spans="1:31" hidden="1" x14ac:dyDescent="0.25">
      <c r="H30" s="2">
        <f>SUM(H9:H28)</f>
        <v>685.0762665271759</v>
      </c>
      <c r="I30" s="2">
        <f t="shared" ref="I30:AA30" si="4">SUM(I9:I28)</f>
        <v>642.85094738006592</v>
      </c>
      <c r="J30" s="2">
        <f t="shared" si="4"/>
        <v>526.31479501724243</v>
      </c>
      <c r="K30" s="2">
        <f t="shared" si="4"/>
        <v>575.20737051963806</v>
      </c>
      <c r="L30" s="2">
        <f t="shared" si="4"/>
        <v>520.31429409980774</v>
      </c>
      <c r="M30" s="2">
        <f t="shared" si="4"/>
        <v>793.29233169555664</v>
      </c>
      <c r="N30" s="2">
        <f t="shared" si="4"/>
        <v>623.35562109947205</v>
      </c>
      <c r="O30" s="2">
        <f t="shared" si="4"/>
        <v>464.8044764995575</v>
      </c>
      <c r="P30" s="2">
        <f t="shared" si="4"/>
        <v>627.2433876991272</v>
      </c>
      <c r="Q30" s="2">
        <f t="shared" si="4"/>
        <v>415.22078514099121</v>
      </c>
      <c r="R30" s="2">
        <f t="shared" si="4"/>
        <v>415.31745791435242</v>
      </c>
      <c r="S30" s="2">
        <f t="shared" si="4"/>
        <v>404.74147200584412</v>
      </c>
      <c r="T30" s="2">
        <f t="shared" si="4"/>
        <v>526.10746026039124</v>
      </c>
      <c r="U30" s="2">
        <f t="shared" si="4"/>
        <v>256.66577219963074</v>
      </c>
      <c r="V30" s="2">
        <f t="shared" si="4"/>
        <v>610.97221374511719</v>
      </c>
      <c r="W30" s="2">
        <f t="shared" si="4"/>
        <v>548.72025847434998</v>
      </c>
      <c r="X30" s="2">
        <f t="shared" si="4"/>
        <v>440.93846082687378</v>
      </c>
      <c r="Y30" s="2">
        <f t="shared" si="4"/>
        <v>415.49725532531738</v>
      </c>
      <c r="Z30" s="2">
        <f t="shared" si="4"/>
        <v>544.50972676277161</v>
      </c>
      <c r="AA30" s="2">
        <f t="shared" si="4"/>
        <v>508.70049595832825</v>
      </c>
      <c r="AC30" s="40">
        <f>COUNTIF(AC9:AC28,0)</f>
        <v>0</v>
      </c>
      <c r="AD30" s="2">
        <f>SUM(AD9:AD28)</f>
        <v>200</v>
      </c>
      <c r="AE30">
        <f>(B35*B35-3*B35+4)/2</f>
        <v>172</v>
      </c>
    </row>
    <row r="31" spans="1:31" x14ac:dyDescent="0.25">
      <c r="G31" t="s">
        <v>26</v>
      </c>
    </row>
    <row r="32" spans="1:31" ht="15.75" hidden="1" thickBot="1" x14ac:dyDescent="0.3">
      <c r="A32" s="33" t="s">
        <v>13</v>
      </c>
      <c r="B32" s="34">
        <v>0</v>
      </c>
    </row>
    <row r="33" spans="1:27" ht="15.75" hidden="1" thickBot="1" x14ac:dyDescent="0.3">
      <c r="A33" s="33" t="s">
        <v>14</v>
      </c>
      <c r="B33" s="33">
        <v>100</v>
      </c>
    </row>
    <row r="34" spans="1:27" ht="15.75" hidden="1" thickBot="1" x14ac:dyDescent="0.3">
      <c r="A34" s="33" t="s">
        <v>15</v>
      </c>
      <c r="B34" s="33">
        <v>0.5</v>
      </c>
    </row>
    <row r="35" spans="1:27" ht="15.75" hidden="1" thickBot="1" x14ac:dyDescent="0.3">
      <c r="A35" s="35" t="s">
        <v>16</v>
      </c>
      <c r="B35" s="35">
        <v>20</v>
      </c>
    </row>
    <row r="36" spans="1:27" x14ac:dyDescent="0.25">
      <c r="G36" s="2"/>
      <c r="H36" s="50">
        <f>$C9</f>
        <v>791.6</v>
      </c>
      <c r="I36" s="50">
        <f>$C10</f>
        <v>908.40000000000009</v>
      </c>
      <c r="J36" s="50">
        <f>$C11</f>
        <v>729.5</v>
      </c>
      <c r="K36" s="50">
        <f>$C12</f>
        <v>695.80000000000007</v>
      </c>
      <c r="L36" s="50">
        <f>$C13</f>
        <v>876.5</v>
      </c>
      <c r="M36" s="50">
        <f>$C14</f>
        <v>489.70000000000005</v>
      </c>
      <c r="N36" s="50">
        <f>C15</f>
        <v>902.90000000000009</v>
      </c>
      <c r="O36" s="50">
        <f>$C16</f>
        <v>948.40000000000009</v>
      </c>
      <c r="P36" s="50">
        <f>$C17</f>
        <v>725.40000000000009</v>
      </c>
      <c r="Q36" s="50">
        <f>$C18</f>
        <v>247.9</v>
      </c>
      <c r="R36" s="50">
        <f>$C19</f>
        <v>338.40000000000003</v>
      </c>
      <c r="S36" s="50">
        <f>$C20</f>
        <v>437.1</v>
      </c>
      <c r="T36" s="50">
        <f>$C21</f>
        <v>999.2</v>
      </c>
      <c r="U36" s="50">
        <f>$C22</f>
        <v>731.80000000000007</v>
      </c>
      <c r="V36" s="50">
        <f>$C23</f>
        <v>595.30000000000007</v>
      </c>
      <c r="W36" s="50">
        <f>$C24</f>
        <v>164.70000000000002</v>
      </c>
      <c r="X36" s="50">
        <f>$C25</f>
        <v>545.5</v>
      </c>
      <c r="Y36" s="50">
        <f>$C26</f>
        <v>730</v>
      </c>
      <c r="Z36" s="50">
        <f>$C27</f>
        <v>414.6</v>
      </c>
      <c r="AA36" s="50">
        <f>$C28</f>
        <v>590.30000000000007</v>
      </c>
    </row>
    <row r="37" spans="1:27" x14ac:dyDescent="0.25">
      <c r="G37" s="9">
        <v>6.1540853611132706E-2</v>
      </c>
      <c r="H37" s="2">
        <f>H$36*$G37</f>
        <v>48.71573971857265</v>
      </c>
      <c r="I37" s="2">
        <f t="shared" ref="I37:AA50" si="5">I$36*$G37</f>
        <v>55.903711420352955</v>
      </c>
      <c r="J37" s="2">
        <f t="shared" si="5"/>
        <v>44.894052709321308</v>
      </c>
      <c r="K37" s="2">
        <f t="shared" si="5"/>
        <v>42.820125942626142</v>
      </c>
      <c r="L37" s="2">
        <f t="shared" si="5"/>
        <v>53.940558190157816</v>
      </c>
      <c r="M37" s="2">
        <f t="shared" si="5"/>
        <v>30.136556013371688</v>
      </c>
      <c r="N37" s="2">
        <f t="shared" si="5"/>
        <v>55.565236725491729</v>
      </c>
      <c r="O37" s="2">
        <f t="shared" si="5"/>
        <v>58.365345564798261</v>
      </c>
      <c r="P37" s="2">
        <f t="shared" si="5"/>
        <v>44.641735209515673</v>
      </c>
      <c r="Q37" s="2">
        <f t="shared" si="5"/>
        <v>15.255977610199798</v>
      </c>
      <c r="R37" s="2">
        <f t="shared" si="5"/>
        <v>20.82542486200731</v>
      </c>
      <c r="S37" s="2">
        <f t="shared" si="5"/>
        <v>26.899507113426107</v>
      </c>
      <c r="T37" s="2">
        <f t="shared" si="5"/>
        <v>61.491620928243805</v>
      </c>
      <c r="U37" s="2">
        <f t="shared" si="5"/>
        <v>45.035596672626916</v>
      </c>
      <c r="V37" s="2">
        <f t="shared" si="5"/>
        <v>36.635270154707307</v>
      </c>
      <c r="W37" s="2">
        <f t="shared" si="5"/>
        <v>10.135778589753558</v>
      </c>
      <c r="X37" s="2">
        <f t="shared" si="5"/>
        <v>33.570535644872891</v>
      </c>
      <c r="Y37" s="2">
        <f t="shared" si="5"/>
        <v>44.924823136126875</v>
      </c>
      <c r="Z37" s="2">
        <f t="shared" si="5"/>
        <v>25.514837907175622</v>
      </c>
      <c r="AA37" s="2">
        <f t="shared" si="5"/>
        <v>36.327565886651641</v>
      </c>
    </row>
    <row r="38" spans="1:27" ht="15.75" thickBot="1" x14ac:dyDescent="0.3">
      <c r="G38" s="9">
        <v>7.0621161470885485E-2</v>
      </c>
      <c r="H38" s="2">
        <f t="shared" ref="H38:W56" si="6">H$36*$G38</f>
        <v>55.903711420352948</v>
      </c>
      <c r="I38" s="2">
        <f t="shared" si="5"/>
        <v>64.15226308015238</v>
      </c>
      <c r="J38" s="2">
        <f t="shared" si="5"/>
        <v>51.518137293010959</v>
      </c>
      <c r="K38" s="2">
        <f t="shared" si="5"/>
        <v>49.138204151442125</v>
      </c>
      <c r="L38" s="2">
        <f t="shared" si="5"/>
        <v>61.899448029231131</v>
      </c>
      <c r="M38" s="2">
        <f t="shared" si="5"/>
        <v>34.583182772292623</v>
      </c>
      <c r="N38" s="2">
        <f t="shared" si="5"/>
        <v>63.763846692062508</v>
      </c>
      <c r="O38" s="2">
        <f t="shared" si="5"/>
        <v>66.977109538987804</v>
      </c>
      <c r="P38" s="2">
        <f t="shared" si="5"/>
        <v>51.228590530980334</v>
      </c>
      <c r="Q38" s="2">
        <f t="shared" si="5"/>
        <v>17.506985928632513</v>
      </c>
      <c r="R38" s="2">
        <f t="shared" si="5"/>
        <v>23.898201041747651</v>
      </c>
      <c r="S38" s="2">
        <f t="shared" si="5"/>
        <v>30.868509678924045</v>
      </c>
      <c r="T38" s="2">
        <f t="shared" si="5"/>
        <v>70.56466454170878</v>
      </c>
      <c r="U38" s="2">
        <f t="shared" si="5"/>
        <v>51.680565964394006</v>
      </c>
      <c r="V38" s="2">
        <f t="shared" si="5"/>
        <v>42.040777423618131</v>
      </c>
      <c r="W38" s="2">
        <f t="shared" si="5"/>
        <v>11.63130529425484</v>
      </c>
      <c r="X38" s="2">
        <f t="shared" si="5"/>
        <v>38.523843582368031</v>
      </c>
      <c r="Y38" s="2">
        <f t="shared" si="5"/>
        <v>51.553447873746407</v>
      </c>
      <c r="Z38" s="2">
        <f t="shared" si="5"/>
        <v>29.279533545829125</v>
      </c>
      <c r="AA38" s="2">
        <f t="shared" si="5"/>
        <v>41.687671616263707</v>
      </c>
    </row>
    <row r="39" spans="1:27" ht="15.75" thickBot="1" x14ac:dyDescent="0.3">
      <c r="A39" s="36" t="s">
        <v>18</v>
      </c>
      <c r="B39" s="37"/>
      <c r="C39" s="38">
        <v>8527</v>
      </c>
      <c r="G39" s="9">
        <v>5.6713052942548393E-2</v>
      </c>
      <c r="H39" s="2">
        <f t="shared" si="6"/>
        <v>44.894052709321308</v>
      </c>
      <c r="I39" s="2">
        <f t="shared" si="5"/>
        <v>51.518137293010966</v>
      </c>
      <c r="J39" s="2">
        <f t="shared" si="5"/>
        <v>41.372172121589053</v>
      </c>
      <c r="K39" s="2">
        <f t="shared" si="5"/>
        <v>39.460942237425179</v>
      </c>
      <c r="L39" s="2">
        <f t="shared" si="5"/>
        <v>49.708990904143668</v>
      </c>
      <c r="M39" s="2">
        <f t="shared" si="5"/>
        <v>27.77238202596595</v>
      </c>
      <c r="N39" s="2">
        <f t="shared" si="5"/>
        <v>51.206215501826946</v>
      </c>
      <c r="O39" s="2">
        <f t="shared" si="5"/>
        <v>53.7866594107129</v>
      </c>
      <c r="P39" s="2">
        <f t="shared" si="5"/>
        <v>41.139648604524609</v>
      </c>
      <c r="Q39" s="2">
        <f t="shared" si="5"/>
        <v>14.059165824457747</v>
      </c>
      <c r="R39" s="2">
        <f t="shared" si="5"/>
        <v>19.191697115758377</v>
      </c>
      <c r="S39" s="2">
        <f t="shared" si="5"/>
        <v>24.789275441187904</v>
      </c>
      <c r="T39" s="2">
        <f t="shared" si="5"/>
        <v>56.66768250019436</v>
      </c>
      <c r="U39" s="2">
        <f t="shared" si="5"/>
        <v>41.50261214335692</v>
      </c>
      <c r="V39" s="2">
        <f t="shared" si="5"/>
        <v>33.761280416699066</v>
      </c>
      <c r="W39" s="2">
        <f t="shared" si="5"/>
        <v>9.3406398196377207</v>
      </c>
      <c r="X39" s="2">
        <f t="shared" si="5"/>
        <v>30.936970380160147</v>
      </c>
      <c r="Y39" s="2">
        <f t="shared" si="5"/>
        <v>41.40052864806033</v>
      </c>
      <c r="Z39" s="2">
        <f t="shared" si="5"/>
        <v>23.513231749980566</v>
      </c>
      <c r="AA39" s="2">
        <f t="shared" si="5"/>
        <v>33.477715151986324</v>
      </c>
    </row>
    <row r="40" spans="1:27" x14ac:dyDescent="0.25">
      <c r="G40" s="9">
        <v>5.4093135349451919E-2</v>
      </c>
      <c r="H40" s="2">
        <f t="shared" si="6"/>
        <v>42.820125942626142</v>
      </c>
      <c r="I40" s="2">
        <f t="shared" si="5"/>
        <v>49.138204151442132</v>
      </c>
      <c r="J40" s="2">
        <f t="shared" si="5"/>
        <v>39.460942237425172</v>
      </c>
      <c r="K40" s="2">
        <f t="shared" si="5"/>
        <v>37.638003576148648</v>
      </c>
      <c r="L40" s="2">
        <f t="shared" si="5"/>
        <v>47.412633133794607</v>
      </c>
      <c r="M40" s="2">
        <f t="shared" si="5"/>
        <v>26.489408380626607</v>
      </c>
      <c r="N40" s="2">
        <f t="shared" si="5"/>
        <v>48.840691907020144</v>
      </c>
      <c r="O40" s="2">
        <f t="shared" si="5"/>
        <v>51.301929565420203</v>
      </c>
      <c r="P40" s="2">
        <f t="shared" si="5"/>
        <v>39.239160382492429</v>
      </c>
      <c r="Q40" s="2">
        <f t="shared" si="5"/>
        <v>13.409688253129131</v>
      </c>
      <c r="R40" s="2">
        <f t="shared" si="5"/>
        <v>18.30511700225453</v>
      </c>
      <c r="S40" s="2">
        <f t="shared" si="5"/>
        <v>23.644109461245435</v>
      </c>
      <c r="T40" s="2">
        <f t="shared" si="5"/>
        <v>54.049860841172361</v>
      </c>
      <c r="U40" s="2">
        <f t="shared" si="5"/>
        <v>39.585356448728916</v>
      </c>
      <c r="V40" s="2">
        <f t="shared" si="5"/>
        <v>32.201643473528733</v>
      </c>
      <c r="W40" s="2">
        <f t="shared" si="5"/>
        <v>8.9091393920547315</v>
      </c>
      <c r="X40" s="2">
        <f t="shared" si="5"/>
        <v>29.507805333126022</v>
      </c>
      <c r="Y40" s="2">
        <f t="shared" si="5"/>
        <v>39.487988805099903</v>
      </c>
      <c r="Z40" s="2">
        <f t="shared" si="5"/>
        <v>22.427013915882767</v>
      </c>
      <c r="AA40" s="2">
        <f t="shared" si="5"/>
        <v>31.931177796781473</v>
      </c>
    </row>
    <row r="41" spans="1:27" x14ac:dyDescent="0.25">
      <c r="G41" s="9">
        <v>6.814118012905232E-2</v>
      </c>
      <c r="H41" s="2">
        <f t="shared" si="6"/>
        <v>53.940558190157816</v>
      </c>
      <c r="I41" s="2">
        <f t="shared" si="5"/>
        <v>61.899448029231131</v>
      </c>
      <c r="J41" s="2">
        <f t="shared" si="5"/>
        <v>49.708990904143668</v>
      </c>
      <c r="K41" s="2">
        <f t="shared" si="5"/>
        <v>47.412633133794607</v>
      </c>
      <c r="L41" s="2">
        <f t="shared" si="5"/>
        <v>59.72574438311436</v>
      </c>
      <c r="M41" s="2">
        <f t="shared" si="5"/>
        <v>33.368735909196921</v>
      </c>
      <c r="N41" s="2">
        <f t="shared" si="5"/>
        <v>61.524671538521346</v>
      </c>
      <c r="O41" s="2">
        <f t="shared" si="5"/>
        <v>64.625095234393228</v>
      </c>
      <c r="P41" s="2">
        <f t="shared" si="5"/>
        <v>49.429612065614556</v>
      </c>
      <c r="Q41" s="2">
        <f t="shared" si="5"/>
        <v>16.89219855399207</v>
      </c>
      <c r="R41" s="2">
        <f t="shared" si="5"/>
        <v>23.058975355671308</v>
      </c>
      <c r="S41" s="2">
        <f t="shared" si="5"/>
        <v>29.78450983440877</v>
      </c>
      <c r="T41" s="2">
        <f t="shared" si="5"/>
        <v>68.086667184949079</v>
      </c>
      <c r="U41" s="2">
        <f t="shared" si="5"/>
        <v>49.86571561844049</v>
      </c>
      <c r="V41" s="2">
        <f t="shared" si="5"/>
        <v>40.564444530824851</v>
      </c>
      <c r="W41" s="2">
        <f t="shared" si="5"/>
        <v>11.222852367254918</v>
      </c>
      <c r="X41" s="2">
        <f t="shared" si="5"/>
        <v>37.17101376039804</v>
      </c>
      <c r="Y41" s="2">
        <f t="shared" si="5"/>
        <v>49.743061494208192</v>
      </c>
      <c r="Z41" s="2">
        <f t="shared" si="5"/>
        <v>28.251333281505094</v>
      </c>
      <c r="AA41" s="2">
        <f t="shared" si="5"/>
        <v>40.223738630179589</v>
      </c>
    </row>
    <row r="42" spans="1:27" x14ac:dyDescent="0.25">
      <c r="G42" s="9">
        <v>3.8070434579802533E-2</v>
      </c>
      <c r="H42" s="2">
        <f t="shared" si="6"/>
        <v>30.136556013371685</v>
      </c>
      <c r="I42" s="2">
        <f t="shared" si="5"/>
        <v>34.583182772292623</v>
      </c>
      <c r="J42" s="2">
        <f t="shared" si="5"/>
        <v>27.772382025965946</v>
      </c>
      <c r="K42" s="2">
        <f t="shared" si="5"/>
        <v>26.489408380626603</v>
      </c>
      <c r="L42" s="2">
        <f t="shared" si="5"/>
        <v>33.368735909196921</v>
      </c>
      <c r="M42" s="2">
        <f t="shared" si="5"/>
        <v>18.643091813729303</v>
      </c>
      <c r="N42" s="2">
        <f t="shared" si="5"/>
        <v>34.373795382103708</v>
      </c>
      <c r="O42" s="2">
        <f t="shared" si="5"/>
        <v>36.106000155484722</v>
      </c>
      <c r="P42" s="2">
        <f t="shared" si="5"/>
        <v>27.616293244188761</v>
      </c>
      <c r="Q42" s="2">
        <f t="shared" si="5"/>
        <v>9.4376607323330486</v>
      </c>
      <c r="R42" s="2">
        <f t="shared" si="5"/>
        <v>12.883035061805179</v>
      </c>
      <c r="S42" s="2">
        <f t="shared" si="5"/>
        <v>16.640586954831686</v>
      </c>
      <c r="T42" s="2">
        <f t="shared" si="5"/>
        <v>38.039978232138694</v>
      </c>
      <c r="U42" s="2">
        <f t="shared" si="5"/>
        <v>27.859944025499495</v>
      </c>
      <c r="V42" s="2">
        <f t="shared" si="5"/>
        <v>22.66332970535645</v>
      </c>
      <c r="W42" s="2">
        <f t="shared" si="5"/>
        <v>6.2702005752934777</v>
      </c>
      <c r="X42" s="2">
        <f t="shared" si="5"/>
        <v>20.767422063282282</v>
      </c>
      <c r="Y42" s="2">
        <f t="shared" si="5"/>
        <v>27.79141724325585</v>
      </c>
      <c r="Z42" s="2">
        <f t="shared" si="5"/>
        <v>15.784002176786132</v>
      </c>
      <c r="AA42" s="2">
        <f t="shared" si="5"/>
        <v>22.472977532457438</v>
      </c>
    </row>
    <row r="43" spans="1:27" x14ac:dyDescent="0.25">
      <c r="G43" s="9">
        <v>7.0193578480914245E-2</v>
      </c>
      <c r="H43" s="2">
        <f t="shared" si="6"/>
        <v>55.565236725491715</v>
      </c>
      <c r="I43" s="2">
        <f t="shared" si="5"/>
        <v>63.763846692062508</v>
      </c>
      <c r="J43" s="2">
        <f t="shared" si="5"/>
        <v>51.206215501826939</v>
      </c>
      <c r="K43" s="2">
        <f t="shared" si="5"/>
        <v>48.840691907020137</v>
      </c>
      <c r="L43" s="2">
        <f t="shared" si="5"/>
        <v>61.524671538521339</v>
      </c>
      <c r="M43" s="2">
        <f t="shared" si="5"/>
        <v>34.373795382103708</v>
      </c>
      <c r="N43" s="2">
        <f t="shared" si="5"/>
        <v>63.377782010417476</v>
      </c>
      <c r="O43" s="2">
        <f t="shared" si="5"/>
        <v>66.571589831299079</v>
      </c>
      <c r="P43" s="2">
        <f t="shared" si="5"/>
        <v>50.918421830055202</v>
      </c>
      <c r="Q43" s="2">
        <f t="shared" si="5"/>
        <v>17.400988105418641</v>
      </c>
      <c r="R43" s="2">
        <f t="shared" si="5"/>
        <v>23.753506957941383</v>
      </c>
      <c r="S43" s="2">
        <f t="shared" si="5"/>
        <v>30.681613154007618</v>
      </c>
      <c r="T43" s="2">
        <f t="shared" si="5"/>
        <v>70.137423618129517</v>
      </c>
      <c r="U43" s="2">
        <f t="shared" si="5"/>
        <v>51.36766073233305</v>
      </c>
      <c r="V43" s="2">
        <f t="shared" si="5"/>
        <v>41.786237269688257</v>
      </c>
      <c r="W43" s="2">
        <f t="shared" si="5"/>
        <v>11.560882375806578</v>
      </c>
      <c r="X43" s="2">
        <f t="shared" si="5"/>
        <v>38.290597061338723</v>
      </c>
      <c r="Y43" s="2">
        <f t="shared" si="5"/>
        <v>51.241312291067402</v>
      </c>
      <c r="Z43" s="2">
        <f t="shared" si="5"/>
        <v>29.102257638187048</v>
      </c>
      <c r="AA43" s="2">
        <f t="shared" si="5"/>
        <v>41.435269377283682</v>
      </c>
    </row>
    <row r="44" spans="1:27" x14ac:dyDescent="0.25">
      <c r="G44" s="9">
        <v>7.3730855943403562E-2</v>
      </c>
      <c r="H44" s="2">
        <f t="shared" si="6"/>
        <v>58.365345564798261</v>
      </c>
      <c r="I44" s="2">
        <f t="shared" si="5"/>
        <v>66.977109538987804</v>
      </c>
      <c r="J44" s="2">
        <f t="shared" si="5"/>
        <v>53.7866594107129</v>
      </c>
      <c r="K44" s="2">
        <f t="shared" si="5"/>
        <v>51.301929565420203</v>
      </c>
      <c r="L44" s="2">
        <f t="shared" si="5"/>
        <v>64.625095234393228</v>
      </c>
      <c r="M44" s="2">
        <f t="shared" si="5"/>
        <v>36.106000155484729</v>
      </c>
      <c r="N44" s="2">
        <f t="shared" si="5"/>
        <v>66.571589831299079</v>
      </c>
      <c r="O44" s="2">
        <f t="shared" si="5"/>
        <v>69.92634377672394</v>
      </c>
      <c r="P44" s="2">
        <f t="shared" si="5"/>
        <v>53.484362901344952</v>
      </c>
      <c r="Q44" s="2">
        <f t="shared" si="5"/>
        <v>18.277879188369742</v>
      </c>
      <c r="R44" s="2">
        <f t="shared" si="5"/>
        <v>24.950521651247769</v>
      </c>
      <c r="S44" s="2">
        <f t="shared" si="5"/>
        <v>32.227757132861697</v>
      </c>
      <c r="T44" s="2">
        <f t="shared" si="5"/>
        <v>73.671871258648835</v>
      </c>
      <c r="U44" s="2">
        <f t="shared" si="5"/>
        <v>53.956240379382734</v>
      </c>
      <c r="V44" s="2">
        <f t="shared" si="5"/>
        <v>43.891978543108145</v>
      </c>
      <c r="W44" s="2">
        <f t="shared" si="5"/>
        <v>12.143471973878567</v>
      </c>
      <c r="X44" s="2">
        <f t="shared" si="5"/>
        <v>40.220181917126645</v>
      </c>
      <c r="Y44" s="2">
        <f t="shared" si="5"/>
        <v>53.823524838684598</v>
      </c>
      <c r="Z44" s="2">
        <f t="shared" si="5"/>
        <v>30.568812874135119</v>
      </c>
      <c r="AA44" s="2">
        <f t="shared" si="5"/>
        <v>43.523324263391125</v>
      </c>
    </row>
    <row r="45" spans="1:27" x14ac:dyDescent="0.25">
      <c r="G45" s="9">
        <v>5.6394309259115295E-2</v>
      </c>
      <c r="H45" s="2">
        <f t="shared" si="6"/>
        <v>44.641735209515666</v>
      </c>
      <c r="I45" s="2">
        <f t="shared" si="5"/>
        <v>51.228590530980341</v>
      </c>
      <c r="J45" s="2">
        <f t="shared" si="5"/>
        <v>41.139648604524609</v>
      </c>
      <c r="K45" s="2">
        <f t="shared" si="5"/>
        <v>39.239160382492429</v>
      </c>
      <c r="L45" s="2">
        <f t="shared" si="5"/>
        <v>49.429612065614556</v>
      </c>
      <c r="M45" s="2">
        <f t="shared" si="5"/>
        <v>27.616293244188764</v>
      </c>
      <c r="N45" s="2">
        <f t="shared" si="5"/>
        <v>50.918421830055202</v>
      </c>
      <c r="O45" s="2">
        <f t="shared" si="5"/>
        <v>53.484362901344952</v>
      </c>
      <c r="P45" s="2">
        <f t="shared" si="5"/>
        <v>40.908431936562238</v>
      </c>
      <c r="Q45" s="2">
        <f t="shared" si="5"/>
        <v>13.980149265334681</v>
      </c>
      <c r="R45" s="2">
        <f t="shared" si="5"/>
        <v>19.083834253284618</v>
      </c>
      <c r="S45" s="2">
        <f t="shared" si="5"/>
        <v>24.649952577159297</v>
      </c>
      <c r="T45" s="2">
        <f t="shared" si="5"/>
        <v>56.349193811708005</v>
      </c>
      <c r="U45" s="2">
        <f t="shared" si="5"/>
        <v>41.269355515820578</v>
      </c>
      <c r="V45" s="2">
        <f t="shared" si="5"/>
        <v>33.571532301951336</v>
      </c>
      <c r="W45" s="2">
        <f t="shared" si="5"/>
        <v>9.2881427349762902</v>
      </c>
      <c r="X45" s="2">
        <f t="shared" si="5"/>
        <v>30.763095700847394</v>
      </c>
      <c r="Y45" s="2">
        <f t="shared" si="5"/>
        <v>41.167845759154169</v>
      </c>
      <c r="Z45" s="2">
        <f t="shared" si="5"/>
        <v>23.381080618829202</v>
      </c>
      <c r="AA45" s="2">
        <f t="shared" si="5"/>
        <v>33.289560755655764</v>
      </c>
    </row>
    <row r="46" spans="1:27" x14ac:dyDescent="0.25">
      <c r="G46" s="9">
        <v>1.9272331493430772E-2</v>
      </c>
      <c r="H46" s="2">
        <f t="shared" si="6"/>
        <v>15.2559776101998</v>
      </c>
      <c r="I46" s="2">
        <f t="shared" si="5"/>
        <v>17.506985928632517</v>
      </c>
      <c r="J46" s="2">
        <f t="shared" si="5"/>
        <v>14.059165824457748</v>
      </c>
      <c r="K46" s="2">
        <f t="shared" si="5"/>
        <v>13.409688253129133</v>
      </c>
      <c r="L46" s="2">
        <f t="shared" si="5"/>
        <v>16.89219855399207</v>
      </c>
      <c r="M46" s="2">
        <f t="shared" si="5"/>
        <v>9.4376607323330504</v>
      </c>
      <c r="N46" s="2">
        <f t="shared" si="5"/>
        <v>17.400988105418644</v>
      </c>
      <c r="O46" s="2">
        <f t="shared" si="5"/>
        <v>18.277879188369745</v>
      </c>
      <c r="P46" s="2">
        <f t="shared" si="5"/>
        <v>13.980149265334683</v>
      </c>
      <c r="Q46" s="2">
        <f t="shared" si="5"/>
        <v>4.7776109772214888</v>
      </c>
      <c r="R46" s="2">
        <f t="shared" si="5"/>
        <v>6.5217569773769739</v>
      </c>
      <c r="S46" s="2">
        <f t="shared" si="5"/>
        <v>8.4239360957785916</v>
      </c>
      <c r="T46" s="2">
        <f t="shared" si="5"/>
        <v>19.256913628236028</v>
      </c>
      <c r="U46" s="2">
        <f t="shared" si="5"/>
        <v>14.103492186892641</v>
      </c>
      <c r="V46" s="2">
        <f t="shared" si="5"/>
        <v>11.472818938039341</v>
      </c>
      <c r="W46" s="2">
        <f t="shared" si="5"/>
        <v>3.1741529969680484</v>
      </c>
      <c r="X46" s="2">
        <f t="shared" si="5"/>
        <v>10.513056829666485</v>
      </c>
      <c r="Y46" s="2">
        <f t="shared" si="5"/>
        <v>14.068801990204463</v>
      </c>
      <c r="Z46" s="2">
        <f t="shared" si="5"/>
        <v>7.9903086371763985</v>
      </c>
      <c r="AA46" s="2">
        <f t="shared" si="5"/>
        <v>11.376457280572186</v>
      </c>
    </row>
    <row r="47" spans="1:27" x14ac:dyDescent="0.25">
      <c r="G47" s="9">
        <v>2.6308015237502914E-2</v>
      </c>
      <c r="H47" s="2">
        <f t="shared" si="6"/>
        <v>20.825424862007306</v>
      </c>
      <c r="I47" s="2">
        <f t="shared" si="5"/>
        <v>23.898201041747651</v>
      </c>
      <c r="J47" s="2">
        <f t="shared" si="5"/>
        <v>19.191697115758377</v>
      </c>
      <c r="K47" s="2">
        <f t="shared" si="5"/>
        <v>18.30511700225453</v>
      </c>
      <c r="L47" s="2">
        <f t="shared" si="5"/>
        <v>23.058975355671304</v>
      </c>
      <c r="M47" s="2">
        <f t="shared" si="5"/>
        <v>12.883035061805177</v>
      </c>
      <c r="N47" s="2">
        <f t="shared" si="5"/>
        <v>23.753506957941383</v>
      </c>
      <c r="O47" s="2">
        <f t="shared" si="5"/>
        <v>24.950521651247765</v>
      </c>
      <c r="P47" s="2">
        <f t="shared" si="5"/>
        <v>19.083834253284618</v>
      </c>
      <c r="Q47" s="2">
        <f t="shared" si="5"/>
        <v>6.5217569773769721</v>
      </c>
      <c r="R47" s="2">
        <f t="shared" si="5"/>
        <v>8.9026323563709866</v>
      </c>
      <c r="S47" s="2">
        <f t="shared" si="5"/>
        <v>11.499233460312524</v>
      </c>
      <c r="T47" s="2">
        <f t="shared" si="5"/>
        <v>26.286968825312911</v>
      </c>
      <c r="U47" s="2">
        <f t="shared" si="5"/>
        <v>19.252205550804636</v>
      </c>
      <c r="V47" s="2">
        <f t="shared" si="5"/>
        <v>15.661161470885487</v>
      </c>
      <c r="W47" s="2">
        <f t="shared" si="5"/>
        <v>4.3329301096167301</v>
      </c>
      <c r="X47" s="2">
        <f t="shared" si="5"/>
        <v>14.35102231205784</v>
      </c>
      <c r="Y47" s="2">
        <f t="shared" si="5"/>
        <v>19.204851123377129</v>
      </c>
      <c r="Z47" s="2">
        <f t="shared" si="5"/>
        <v>10.907303117468709</v>
      </c>
      <c r="AA47" s="2">
        <f t="shared" si="5"/>
        <v>15.529621394697973</v>
      </c>
    </row>
    <row r="48" spans="1:27" x14ac:dyDescent="0.25">
      <c r="G48" s="9">
        <v>3.3981186348441265E-2</v>
      </c>
      <c r="H48" s="2">
        <f t="shared" si="6"/>
        <v>26.899507113426107</v>
      </c>
      <c r="I48" s="2">
        <f t="shared" si="5"/>
        <v>30.868509678924049</v>
      </c>
      <c r="J48" s="2">
        <f t="shared" si="5"/>
        <v>24.789275441187904</v>
      </c>
      <c r="K48" s="2">
        <f t="shared" si="5"/>
        <v>23.644109461245435</v>
      </c>
      <c r="L48" s="2">
        <f t="shared" si="5"/>
        <v>29.78450983440877</v>
      </c>
      <c r="M48" s="2">
        <f t="shared" si="5"/>
        <v>16.64058695483169</v>
      </c>
      <c r="N48" s="2">
        <f t="shared" si="5"/>
        <v>30.681613154007621</v>
      </c>
      <c r="O48" s="2">
        <f t="shared" si="5"/>
        <v>32.227757132861697</v>
      </c>
      <c r="P48" s="2">
        <f t="shared" si="5"/>
        <v>24.649952577159297</v>
      </c>
      <c r="Q48" s="2">
        <f t="shared" si="5"/>
        <v>8.4239360957785898</v>
      </c>
      <c r="R48" s="2">
        <f t="shared" si="5"/>
        <v>11.499233460312526</v>
      </c>
      <c r="S48" s="2">
        <f t="shared" si="5"/>
        <v>14.853176552903678</v>
      </c>
      <c r="T48" s="2">
        <f t="shared" si="5"/>
        <v>33.954001399362511</v>
      </c>
      <c r="U48" s="2">
        <f t="shared" si="5"/>
        <v>24.867432169789321</v>
      </c>
      <c r="V48" s="2">
        <f t="shared" si="5"/>
        <v>20.229000233227087</v>
      </c>
      <c r="W48" s="2">
        <f t="shared" si="5"/>
        <v>5.5967013915882768</v>
      </c>
      <c r="X48" s="2">
        <f t="shared" si="5"/>
        <v>18.536737153074711</v>
      </c>
      <c r="Y48" s="2">
        <f t="shared" si="5"/>
        <v>24.806266034362125</v>
      </c>
      <c r="Z48" s="2">
        <f t="shared" si="5"/>
        <v>14.08859986006375</v>
      </c>
      <c r="AA48" s="2">
        <f t="shared" si="5"/>
        <v>20.05909430148488</v>
      </c>
    </row>
    <row r="49" spans="7:27" x14ac:dyDescent="0.25">
      <c r="G49" s="9">
        <v>7.768016792350152E-2</v>
      </c>
      <c r="H49" s="2">
        <f t="shared" si="6"/>
        <v>61.491620928243805</v>
      </c>
      <c r="I49" s="2">
        <f t="shared" si="5"/>
        <v>70.564664541708794</v>
      </c>
      <c r="J49" s="2">
        <f t="shared" si="5"/>
        <v>56.66768250019436</v>
      </c>
      <c r="K49" s="2">
        <f t="shared" si="5"/>
        <v>54.049860841172361</v>
      </c>
      <c r="L49" s="2">
        <f t="shared" si="5"/>
        <v>68.086667184949079</v>
      </c>
      <c r="M49" s="2">
        <f t="shared" si="5"/>
        <v>38.039978232138701</v>
      </c>
      <c r="N49" s="2">
        <f t="shared" si="5"/>
        <v>70.137423618129532</v>
      </c>
      <c r="O49" s="2">
        <f t="shared" si="5"/>
        <v>73.671871258648849</v>
      </c>
      <c r="P49" s="2">
        <f t="shared" si="5"/>
        <v>56.349193811708012</v>
      </c>
      <c r="Q49" s="2">
        <f t="shared" si="5"/>
        <v>19.256913628236028</v>
      </c>
      <c r="R49" s="2">
        <f t="shared" si="5"/>
        <v>26.286968825312918</v>
      </c>
      <c r="S49" s="2">
        <f t="shared" si="5"/>
        <v>33.954001399362518</v>
      </c>
      <c r="T49" s="2">
        <f t="shared" si="5"/>
        <v>77.61802378916272</v>
      </c>
      <c r="U49" s="2">
        <f t="shared" si="5"/>
        <v>56.846346886418416</v>
      </c>
      <c r="V49" s="2">
        <f t="shared" si="5"/>
        <v>46.243003964860463</v>
      </c>
      <c r="W49" s="2">
        <f t="shared" si="5"/>
        <v>12.793923657000702</v>
      </c>
      <c r="X49" s="2">
        <f t="shared" si="5"/>
        <v>42.374531602270082</v>
      </c>
      <c r="Y49" s="2">
        <f t="shared" si="5"/>
        <v>56.706522584156112</v>
      </c>
      <c r="Z49" s="2">
        <f t="shared" si="5"/>
        <v>32.206197621083732</v>
      </c>
      <c r="AA49" s="2">
        <f t="shared" si="5"/>
        <v>45.854603125242953</v>
      </c>
    </row>
    <row r="50" spans="7:27" x14ac:dyDescent="0.25">
      <c r="G50" s="9">
        <v>5.6891860374718183E-2</v>
      </c>
      <c r="H50" s="2">
        <f t="shared" si="6"/>
        <v>45.035596672626916</v>
      </c>
      <c r="I50" s="2">
        <f t="shared" si="5"/>
        <v>51.680565964393999</v>
      </c>
      <c r="J50" s="2">
        <f t="shared" si="5"/>
        <v>41.502612143356913</v>
      </c>
      <c r="K50" s="2">
        <f t="shared" si="5"/>
        <v>39.585356448728916</v>
      </c>
      <c r="L50" s="2">
        <f t="shared" si="5"/>
        <v>49.86571561844049</v>
      </c>
      <c r="M50" s="2">
        <f t="shared" si="5"/>
        <v>27.859944025499498</v>
      </c>
      <c r="N50" s="2">
        <f t="shared" si="5"/>
        <v>51.36766073233305</v>
      </c>
      <c r="O50" s="2">
        <f t="shared" si="5"/>
        <v>53.956240379382727</v>
      </c>
      <c r="P50" s="2">
        <f t="shared" si="5"/>
        <v>41.269355515820578</v>
      </c>
      <c r="Q50" s="2">
        <f t="shared" ref="Q50:AA56" si="7">Q$36*$G50</f>
        <v>14.103492186892638</v>
      </c>
      <c r="R50" s="2">
        <f t="shared" si="7"/>
        <v>19.252205550804636</v>
      </c>
      <c r="S50" s="2">
        <f t="shared" si="7"/>
        <v>24.867432169789318</v>
      </c>
      <c r="T50" s="2">
        <f t="shared" si="7"/>
        <v>56.846346886418409</v>
      </c>
      <c r="U50" s="2">
        <f t="shared" si="7"/>
        <v>41.633463422218767</v>
      </c>
      <c r="V50" s="2">
        <f t="shared" si="7"/>
        <v>33.867724481069736</v>
      </c>
      <c r="W50" s="2">
        <f t="shared" si="7"/>
        <v>9.3700894037160865</v>
      </c>
      <c r="X50" s="2">
        <f t="shared" si="7"/>
        <v>31.03450983440877</v>
      </c>
      <c r="Y50" s="2">
        <f t="shared" si="7"/>
        <v>41.531058073544273</v>
      </c>
      <c r="Z50" s="2">
        <f t="shared" si="7"/>
        <v>23.587365311358159</v>
      </c>
      <c r="AA50" s="2">
        <f t="shared" si="7"/>
        <v>33.583265179196147</v>
      </c>
    </row>
    <row r="51" spans="7:27" x14ac:dyDescent="0.25">
      <c r="G51" s="9">
        <v>4.6280027987250255E-2</v>
      </c>
      <c r="H51" s="2">
        <f t="shared" si="6"/>
        <v>36.6352701547073</v>
      </c>
      <c r="I51" s="2">
        <f t="shared" si="6"/>
        <v>42.040777423618138</v>
      </c>
      <c r="J51" s="2">
        <f t="shared" si="6"/>
        <v>33.761280416699059</v>
      </c>
      <c r="K51" s="2">
        <f t="shared" si="6"/>
        <v>32.201643473528733</v>
      </c>
      <c r="L51" s="2">
        <f t="shared" si="6"/>
        <v>40.564444530824851</v>
      </c>
      <c r="M51" s="2">
        <f t="shared" si="6"/>
        <v>22.663329705356453</v>
      </c>
      <c r="N51" s="2">
        <f t="shared" si="6"/>
        <v>41.786237269688257</v>
      </c>
      <c r="O51" s="2">
        <f t="shared" si="6"/>
        <v>43.891978543108145</v>
      </c>
      <c r="P51" s="2">
        <f t="shared" si="6"/>
        <v>33.571532301951336</v>
      </c>
      <c r="Q51" s="2">
        <f t="shared" si="6"/>
        <v>11.472818938039339</v>
      </c>
      <c r="R51" s="2">
        <f t="shared" si="6"/>
        <v>15.661161470885489</v>
      </c>
      <c r="S51" s="2">
        <f t="shared" si="6"/>
        <v>20.229000233227087</v>
      </c>
      <c r="T51" s="2">
        <f t="shared" si="6"/>
        <v>46.243003964860456</v>
      </c>
      <c r="U51" s="2">
        <f t="shared" si="6"/>
        <v>33.867724481069743</v>
      </c>
      <c r="V51" s="2">
        <f t="shared" si="6"/>
        <v>27.55050066081008</v>
      </c>
      <c r="W51" s="2">
        <f t="shared" si="6"/>
        <v>7.6223206095001181</v>
      </c>
      <c r="X51" s="2">
        <f t="shared" si="7"/>
        <v>25.245755267045013</v>
      </c>
      <c r="Y51" s="2">
        <f t="shared" si="7"/>
        <v>33.784420430692684</v>
      </c>
      <c r="Z51" s="2">
        <f t="shared" si="7"/>
        <v>19.187699603513956</v>
      </c>
      <c r="AA51" s="2">
        <f t="shared" si="7"/>
        <v>27.319100520873828</v>
      </c>
    </row>
    <row r="52" spans="7:27" x14ac:dyDescent="0.25">
      <c r="G52" s="9">
        <v>1.2804166990593174E-2</v>
      </c>
      <c r="H52" s="2">
        <f t="shared" si="6"/>
        <v>10.135778589753556</v>
      </c>
      <c r="I52" s="2">
        <f t="shared" si="6"/>
        <v>11.63130529425484</v>
      </c>
      <c r="J52" s="2">
        <f t="shared" si="6"/>
        <v>9.3406398196377207</v>
      </c>
      <c r="K52" s="2">
        <f t="shared" si="6"/>
        <v>8.9091393920547315</v>
      </c>
      <c r="L52" s="2">
        <f t="shared" si="6"/>
        <v>11.222852367254918</v>
      </c>
      <c r="M52" s="2">
        <f t="shared" si="6"/>
        <v>6.2702005752934777</v>
      </c>
      <c r="N52" s="2">
        <f t="shared" si="6"/>
        <v>11.560882375806578</v>
      </c>
      <c r="O52" s="2">
        <f t="shared" si="6"/>
        <v>12.143471973878567</v>
      </c>
      <c r="P52" s="2">
        <f t="shared" si="6"/>
        <v>9.2881427349762902</v>
      </c>
      <c r="Q52" s="2">
        <f t="shared" si="6"/>
        <v>3.174152996968048</v>
      </c>
      <c r="R52" s="2">
        <f t="shared" si="6"/>
        <v>4.3329301096167301</v>
      </c>
      <c r="S52" s="2">
        <f t="shared" si="6"/>
        <v>5.5967013915882768</v>
      </c>
      <c r="T52" s="2">
        <f t="shared" si="6"/>
        <v>12.7939236570007</v>
      </c>
      <c r="U52" s="2">
        <f t="shared" si="6"/>
        <v>9.3700894037160865</v>
      </c>
      <c r="V52" s="2">
        <f t="shared" si="6"/>
        <v>7.6223206095001172</v>
      </c>
      <c r="W52" s="2">
        <f t="shared" si="6"/>
        <v>2.1088463033506959</v>
      </c>
      <c r="X52" s="2">
        <f t="shared" si="7"/>
        <v>6.9846730933685768</v>
      </c>
      <c r="Y52" s="2">
        <f t="shared" si="7"/>
        <v>9.3470419031330163</v>
      </c>
      <c r="Z52" s="2">
        <f t="shared" si="7"/>
        <v>5.3086076342999302</v>
      </c>
      <c r="AA52" s="2">
        <f t="shared" si="7"/>
        <v>7.5582997745471516</v>
      </c>
    </row>
    <row r="53" spans="7:27" x14ac:dyDescent="0.25">
      <c r="G53" s="9">
        <v>4.240845836896525E-2</v>
      </c>
      <c r="H53" s="2">
        <f t="shared" si="6"/>
        <v>33.570535644872891</v>
      </c>
      <c r="I53" s="2">
        <f t="shared" si="6"/>
        <v>38.523843582368038</v>
      </c>
      <c r="J53" s="2">
        <f t="shared" si="6"/>
        <v>30.936970380160151</v>
      </c>
      <c r="K53" s="2">
        <f t="shared" si="6"/>
        <v>29.507805333126026</v>
      </c>
      <c r="L53" s="2">
        <f t="shared" si="6"/>
        <v>37.17101376039804</v>
      </c>
      <c r="M53" s="2">
        <f t="shared" si="6"/>
        <v>20.767422063282286</v>
      </c>
      <c r="N53" s="2">
        <f t="shared" si="6"/>
        <v>38.29059706133873</v>
      </c>
      <c r="O53" s="2">
        <f t="shared" si="6"/>
        <v>40.220181917126645</v>
      </c>
      <c r="P53" s="2">
        <f t="shared" si="6"/>
        <v>30.763095700847398</v>
      </c>
      <c r="Q53" s="2">
        <f t="shared" si="6"/>
        <v>10.513056829666485</v>
      </c>
      <c r="R53" s="2">
        <f t="shared" si="6"/>
        <v>14.351022312057841</v>
      </c>
      <c r="S53" s="2">
        <f t="shared" si="6"/>
        <v>18.536737153074711</v>
      </c>
      <c r="T53" s="2">
        <f t="shared" si="6"/>
        <v>42.374531602270082</v>
      </c>
      <c r="U53" s="2">
        <f t="shared" si="6"/>
        <v>31.034509834408773</v>
      </c>
      <c r="V53" s="2">
        <f t="shared" si="6"/>
        <v>25.245755267045016</v>
      </c>
      <c r="W53" s="2">
        <f t="shared" si="6"/>
        <v>6.9846730933685777</v>
      </c>
      <c r="X53" s="2">
        <f t="shared" si="7"/>
        <v>23.133814040270543</v>
      </c>
      <c r="Y53" s="2">
        <f t="shared" si="7"/>
        <v>30.958174609344631</v>
      </c>
      <c r="Z53" s="2">
        <f t="shared" si="7"/>
        <v>17.582546839772995</v>
      </c>
      <c r="AA53" s="2">
        <f t="shared" si="7"/>
        <v>25.033712975200189</v>
      </c>
    </row>
    <row r="54" spans="7:27" x14ac:dyDescent="0.25">
      <c r="G54" s="9">
        <v>5.6751924123454874E-2</v>
      </c>
      <c r="H54" s="2">
        <f t="shared" si="6"/>
        <v>44.924823136126882</v>
      </c>
      <c r="I54" s="2">
        <f t="shared" si="6"/>
        <v>51.553447873746414</v>
      </c>
      <c r="J54" s="2">
        <f t="shared" si="6"/>
        <v>41.40052864806033</v>
      </c>
      <c r="K54" s="2">
        <f t="shared" si="6"/>
        <v>39.487988805099903</v>
      </c>
      <c r="L54" s="2">
        <f t="shared" si="6"/>
        <v>49.743061494208199</v>
      </c>
      <c r="M54" s="2">
        <f t="shared" si="6"/>
        <v>27.791417243255854</v>
      </c>
      <c r="N54" s="2">
        <f t="shared" si="6"/>
        <v>51.241312291067409</v>
      </c>
      <c r="O54" s="2">
        <f t="shared" si="6"/>
        <v>53.823524838684605</v>
      </c>
      <c r="P54" s="2">
        <f t="shared" si="6"/>
        <v>41.167845759154169</v>
      </c>
      <c r="Q54" s="2">
        <f t="shared" si="6"/>
        <v>14.068801990204463</v>
      </c>
      <c r="R54" s="2">
        <f t="shared" si="6"/>
        <v>19.204851123377132</v>
      </c>
      <c r="S54" s="2">
        <f t="shared" si="6"/>
        <v>24.806266034362128</v>
      </c>
      <c r="T54" s="2">
        <f t="shared" si="6"/>
        <v>56.706522584156112</v>
      </c>
      <c r="U54" s="2">
        <f t="shared" si="6"/>
        <v>41.53105807354428</v>
      </c>
      <c r="V54" s="2">
        <f t="shared" si="6"/>
        <v>33.784420430692691</v>
      </c>
      <c r="W54" s="2">
        <f t="shared" si="6"/>
        <v>9.3470419031330181</v>
      </c>
      <c r="X54" s="2">
        <f t="shared" si="7"/>
        <v>30.958174609344635</v>
      </c>
      <c r="Y54" s="2">
        <f t="shared" si="7"/>
        <v>41.428904610122061</v>
      </c>
      <c r="Z54" s="2">
        <f t="shared" si="7"/>
        <v>23.529347741584392</v>
      </c>
      <c r="AA54" s="2">
        <f t="shared" si="7"/>
        <v>33.500660810075416</v>
      </c>
    </row>
    <row r="55" spans="7:27" x14ac:dyDescent="0.25">
      <c r="G55" s="9">
        <v>3.2231983207649847E-2</v>
      </c>
      <c r="H55" s="2">
        <f t="shared" si="6"/>
        <v>25.514837907175622</v>
      </c>
      <c r="I55" s="2">
        <f t="shared" si="6"/>
        <v>29.279533545829125</v>
      </c>
      <c r="J55" s="2">
        <f t="shared" si="6"/>
        <v>23.513231749980562</v>
      </c>
      <c r="K55" s="2">
        <f t="shared" si="6"/>
        <v>22.427013915882767</v>
      </c>
      <c r="L55" s="2">
        <f t="shared" si="6"/>
        <v>28.25133328150509</v>
      </c>
      <c r="M55" s="2">
        <f t="shared" si="6"/>
        <v>15.784002176786132</v>
      </c>
      <c r="N55" s="2">
        <f t="shared" si="6"/>
        <v>29.102257638187051</v>
      </c>
      <c r="O55" s="2">
        <f t="shared" si="6"/>
        <v>30.568812874135119</v>
      </c>
      <c r="P55" s="2">
        <f t="shared" si="6"/>
        <v>23.381080618829202</v>
      </c>
      <c r="Q55" s="2">
        <f t="shared" si="6"/>
        <v>7.9903086371763976</v>
      </c>
      <c r="R55" s="2">
        <f t="shared" si="6"/>
        <v>10.907303117468709</v>
      </c>
      <c r="S55" s="2">
        <f t="shared" si="6"/>
        <v>14.088599860063749</v>
      </c>
      <c r="T55" s="2">
        <f t="shared" si="6"/>
        <v>32.206197621083732</v>
      </c>
      <c r="U55" s="2">
        <f t="shared" si="6"/>
        <v>23.587365311358159</v>
      </c>
      <c r="V55" s="2">
        <f t="shared" si="6"/>
        <v>19.187699603513956</v>
      </c>
      <c r="W55" s="2">
        <f t="shared" si="6"/>
        <v>5.3086076342999302</v>
      </c>
      <c r="X55" s="2">
        <f t="shared" si="7"/>
        <v>17.582546839772991</v>
      </c>
      <c r="Y55" s="2">
        <f t="shared" si="7"/>
        <v>23.529347741584388</v>
      </c>
      <c r="Z55" s="2">
        <f t="shared" si="7"/>
        <v>13.363380237891628</v>
      </c>
      <c r="AA55" s="2">
        <f t="shared" si="7"/>
        <v>19.026539687475708</v>
      </c>
    </row>
    <row r="56" spans="7:27" x14ac:dyDescent="0.25">
      <c r="G56" s="9">
        <v>4.5891316178185496E-2</v>
      </c>
      <c r="H56" s="2">
        <f t="shared" si="6"/>
        <v>36.327565886651641</v>
      </c>
      <c r="I56" s="2">
        <f t="shared" si="6"/>
        <v>41.687671616263707</v>
      </c>
      <c r="J56" s="2">
        <f t="shared" si="6"/>
        <v>33.477715151986317</v>
      </c>
      <c r="K56" s="2">
        <f t="shared" si="6"/>
        <v>31.931177796781473</v>
      </c>
      <c r="L56" s="2">
        <f t="shared" si="6"/>
        <v>40.223738630179589</v>
      </c>
      <c r="M56" s="2">
        <f t="shared" si="6"/>
        <v>22.472977532457438</v>
      </c>
      <c r="N56" s="2">
        <f t="shared" si="6"/>
        <v>41.435269377283689</v>
      </c>
      <c r="O56" s="2">
        <f t="shared" si="6"/>
        <v>43.523324263391132</v>
      </c>
      <c r="P56" s="2">
        <f t="shared" si="6"/>
        <v>33.289560755655764</v>
      </c>
      <c r="Q56" s="2">
        <f t="shared" si="6"/>
        <v>11.376457280572184</v>
      </c>
      <c r="R56" s="2">
        <f t="shared" si="6"/>
        <v>15.529621394697973</v>
      </c>
      <c r="S56" s="2">
        <f t="shared" si="6"/>
        <v>20.05909430148488</v>
      </c>
      <c r="T56" s="2">
        <f t="shared" si="6"/>
        <v>45.854603125242946</v>
      </c>
      <c r="U56" s="2">
        <f t="shared" si="6"/>
        <v>33.583265179196147</v>
      </c>
      <c r="V56" s="2">
        <f t="shared" si="6"/>
        <v>27.319100520873828</v>
      </c>
      <c r="W56" s="2">
        <f t="shared" si="6"/>
        <v>7.5582997745471516</v>
      </c>
      <c r="X56" s="2">
        <f t="shared" si="7"/>
        <v>25.033712975200189</v>
      </c>
      <c r="Y56" s="2">
        <f t="shared" si="7"/>
        <v>33.500660810075409</v>
      </c>
      <c r="Z56" s="2">
        <f t="shared" si="7"/>
        <v>19.026539687475708</v>
      </c>
      <c r="AA56" s="2">
        <f t="shared" si="7"/>
        <v>27.089643939982903</v>
      </c>
    </row>
    <row r="58" spans="7:27" ht="15.75" thickBot="1" x14ac:dyDescent="0.3">
      <c r="J58" t="s">
        <v>27</v>
      </c>
    </row>
    <row r="59" spans="7:27" ht="15.75" thickBot="1" x14ac:dyDescent="0.3">
      <c r="H59" s="16">
        <v>1</v>
      </c>
      <c r="I59" s="20">
        <v>2</v>
      </c>
      <c r="J59" s="21">
        <v>3</v>
      </c>
      <c r="K59" s="21">
        <v>4</v>
      </c>
      <c r="L59" s="21">
        <v>5</v>
      </c>
      <c r="M59" s="21">
        <v>6</v>
      </c>
      <c r="N59" s="21">
        <v>7</v>
      </c>
      <c r="O59" s="21">
        <v>8</v>
      </c>
      <c r="P59" s="21">
        <v>9</v>
      </c>
      <c r="Q59" s="21">
        <v>10</v>
      </c>
      <c r="R59" s="21">
        <v>11</v>
      </c>
      <c r="S59" s="21">
        <v>12</v>
      </c>
      <c r="T59" s="21">
        <v>13</v>
      </c>
      <c r="U59" s="21">
        <v>14</v>
      </c>
      <c r="V59" s="21">
        <v>15</v>
      </c>
      <c r="W59" s="21">
        <v>16</v>
      </c>
      <c r="X59" s="21">
        <v>17</v>
      </c>
      <c r="Y59" s="21">
        <v>18</v>
      </c>
      <c r="Z59" s="21">
        <v>19</v>
      </c>
      <c r="AA59" s="22">
        <v>20</v>
      </c>
    </row>
    <row r="60" spans="7:27" x14ac:dyDescent="0.25">
      <c r="G60" s="23">
        <v>1</v>
      </c>
      <c r="H60" s="14">
        <v>0</v>
      </c>
      <c r="I60" s="3">
        <v>70.263400000000004</v>
      </c>
      <c r="J60" s="3">
        <v>60.220700000000001</v>
      </c>
      <c r="K60" s="3">
        <v>72.351299999999995</v>
      </c>
      <c r="L60" s="3">
        <v>90.885099999999994</v>
      </c>
      <c r="M60" s="3">
        <v>66.994200000000006</v>
      </c>
      <c r="N60" s="3">
        <v>132.85499999999999</v>
      </c>
      <c r="O60" s="3">
        <v>88.257199999999997</v>
      </c>
      <c r="P60" s="3">
        <v>81.2346</v>
      </c>
      <c r="Q60" s="3">
        <v>85.302599999999998</v>
      </c>
      <c r="R60" s="3">
        <v>92.704999999999998</v>
      </c>
      <c r="S60" s="3">
        <v>69.400800000000004</v>
      </c>
      <c r="T60" s="3">
        <v>78.881200000000007</v>
      </c>
      <c r="U60" s="3">
        <v>87.476200000000006</v>
      </c>
      <c r="V60" s="3">
        <v>78.844399999999993</v>
      </c>
      <c r="W60" s="3">
        <v>66.046899999999994</v>
      </c>
      <c r="X60" s="3">
        <v>92.703599999999994</v>
      </c>
      <c r="Y60" s="3">
        <v>104.878</v>
      </c>
      <c r="Z60" s="3">
        <v>70.953800000000001</v>
      </c>
      <c r="AA60" s="3">
        <v>88.867000000000004</v>
      </c>
    </row>
    <row r="61" spans="7:27" x14ac:dyDescent="0.25">
      <c r="G61" s="17">
        <v>2</v>
      </c>
      <c r="H61" s="3">
        <v>70.263400000000004</v>
      </c>
      <c r="I61" s="2">
        <v>0</v>
      </c>
      <c r="J61" s="3">
        <v>46.916800000000002</v>
      </c>
      <c r="K61" s="2">
        <v>59.0473</v>
      </c>
      <c r="L61" s="2">
        <v>22.346900000000002</v>
      </c>
      <c r="M61" s="3">
        <v>5.9610099999999999</v>
      </c>
      <c r="N61" s="2">
        <v>88.800299999999993</v>
      </c>
      <c r="O61" s="2">
        <v>59.798499999999997</v>
      </c>
      <c r="P61" s="2">
        <v>41.4818</v>
      </c>
      <c r="Q61" s="2">
        <v>45.549799999999998</v>
      </c>
      <c r="R61" s="3">
        <v>64.246300000000005</v>
      </c>
      <c r="S61" s="2">
        <v>0.86256900000000003</v>
      </c>
      <c r="T61" s="2">
        <v>47.900300000000001</v>
      </c>
      <c r="U61" s="2">
        <v>27.137499999999999</v>
      </c>
      <c r="V61" s="2">
        <v>39.0916</v>
      </c>
      <c r="W61" s="3">
        <v>51.889099999999999</v>
      </c>
      <c r="X61" s="3">
        <v>24.165400000000002</v>
      </c>
      <c r="Y61" s="3">
        <v>42.742899999999999</v>
      </c>
      <c r="Z61" s="2">
        <v>9.9205400000000008</v>
      </c>
      <c r="AA61" s="2">
        <v>50.250399999999999</v>
      </c>
    </row>
    <row r="62" spans="7:27" x14ac:dyDescent="0.25">
      <c r="G62" s="18">
        <v>3</v>
      </c>
      <c r="H62" s="3">
        <v>60.220700000000001</v>
      </c>
      <c r="I62" s="3">
        <v>46.916800000000002</v>
      </c>
      <c r="J62" s="2">
        <v>0</v>
      </c>
      <c r="K62" s="3">
        <v>12.1305</v>
      </c>
      <c r="L62" s="2">
        <v>63.8367</v>
      </c>
      <c r="M62" s="3">
        <v>51.754199999999997</v>
      </c>
      <c r="N62" s="3">
        <v>72.633899999999997</v>
      </c>
      <c r="O62" s="3">
        <v>28.0365</v>
      </c>
      <c r="P62" s="3">
        <v>21.0138</v>
      </c>
      <c r="Q62" s="3">
        <v>25.081900000000001</v>
      </c>
      <c r="R62" s="3">
        <v>32.484299999999998</v>
      </c>
      <c r="S62" s="3">
        <v>46.054299999999998</v>
      </c>
      <c r="T62" s="2">
        <v>27.432300000000001</v>
      </c>
      <c r="U62" s="2">
        <v>27.255500000000001</v>
      </c>
      <c r="V62" s="3">
        <v>18.623699999999999</v>
      </c>
      <c r="W62" s="3">
        <v>5.8261700000000003</v>
      </c>
      <c r="X62" s="2">
        <v>62.669600000000003</v>
      </c>
      <c r="Y62" s="2">
        <v>44.656799999999997</v>
      </c>
      <c r="Z62" s="3">
        <v>47.794699999999999</v>
      </c>
      <c r="AA62" s="3">
        <v>28.6463</v>
      </c>
    </row>
    <row r="63" spans="7:27" x14ac:dyDescent="0.25">
      <c r="G63" s="18">
        <v>4</v>
      </c>
      <c r="H63" s="3">
        <v>72.351299999999995</v>
      </c>
      <c r="I63" s="2">
        <v>59.0473</v>
      </c>
      <c r="J63" s="3">
        <v>12.1305</v>
      </c>
      <c r="K63" s="2">
        <v>0</v>
      </c>
      <c r="L63" s="3">
        <v>66.820999999999998</v>
      </c>
      <c r="M63" s="3">
        <v>60.805100000000003</v>
      </c>
      <c r="N63" s="2">
        <v>66.094999999999999</v>
      </c>
      <c r="O63" s="3">
        <v>40.167099999999998</v>
      </c>
      <c r="P63" s="2">
        <v>25.284300000000002</v>
      </c>
      <c r="Q63" s="2">
        <v>25.562899999999999</v>
      </c>
      <c r="R63" s="3">
        <v>44.614800000000002</v>
      </c>
      <c r="S63" s="2">
        <v>58.184800000000003</v>
      </c>
      <c r="T63" s="2">
        <v>33.852800000000002</v>
      </c>
      <c r="U63" s="2">
        <v>39.386000000000003</v>
      </c>
      <c r="V63" s="2">
        <v>27.674499999999998</v>
      </c>
      <c r="W63" s="2">
        <v>17.956700000000001</v>
      </c>
      <c r="X63" s="3">
        <v>66.940100000000001</v>
      </c>
      <c r="Y63" s="2">
        <v>56.787399999999998</v>
      </c>
      <c r="Z63" s="2">
        <v>56.845599999999997</v>
      </c>
      <c r="AA63" s="2">
        <v>16.515699999999999</v>
      </c>
    </row>
    <row r="64" spans="7:27" x14ac:dyDescent="0.25">
      <c r="G64" s="18">
        <v>5</v>
      </c>
      <c r="H64" s="3">
        <v>90.885099999999994</v>
      </c>
      <c r="I64" s="2">
        <v>22.346900000000002</v>
      </c>
      <c r="J64" s="2">
        <v>63.8367</v>
      </c>
      <c r="K64" s="3">
        <v>66.820999999999998</v>
      </c>
      <c r="L64" s="2">
        <v>0</v>
      </c>
      <c r="M64" s="2">
        <v>28.3079</v>
      </c>
      <c r="N64" s="2">
        <v>98.908699999999996</v>
      </c>
      <c r="O64" s="3">
        <v>59.670699999999997</v>
      </c>
      <c r="P64" s="2">
        <v>47.603200000000001</v>
      </c>
      <c r="Q64" s="2">
        <v>41.258099999999999</v>
      </c>
      <c r="R64" s="3">
        <v>64.118499999999997</v>
      </c>
      <c r="S64" s="3">
        <v>21.484300000000001</v>
      </c>
      <c r="T64" s="3">
        <v>36.404400000000003</v>
      </c>
      <c r="U64" s="2">
        <v>44.490099999999998</v>
      </c>
      <c r="V64" s="2">
        <v>45.213000000000001</v>
      </c>
      <c r="W64" s="2">
        <v>58.0105</v>
      </c>
      <c r="X64" s="2">
        <v>44.787100000000002</v>
      </c>
      <c r="Y64" s="2">
        <v>20.402699999999999</v>
      </c>
      <c r="Z64" s="2">
        <v>32.267400000000002</v>
      </c>
      <c r="AA64" s="3">
        <v>53.741399999999999</v>
      </c>
    </row>
    <row r="65" spans="7:27" x14ac:dyDescent="0.25">
      <c r="G65" s="18">
        <v>6</v>
      </c>
      <c r="H65" s="15">
        <v>66.994200000000006</v>
      </c>
      <c r="I65" s="3">
        <v>5.9610099999999999</v>
      </c>
      <c r="J65" s="3">
        <v>51.754199999999997</v>
      </c>
      <c r="K65" s="3">
        <v>60.805100000000003</v>
      </c>
      <c r="L65" s="2">
        <v>28.3079</v>
      </c>
      <c r="M65" s="2">
        <v>0</v>
      </c>
      <c r="N65" s="2">
        <v>82.839299999999994</v>
      </c>
      <c r="O65" s="3">
        <v>59.092399999999998</v>
      </c>
      <c r="P65" s="2">
        <v>35.520800000000001</v>
      </c>
      <c r="Q65" s="3">
        <v>39.588799999999999</v>
      </c>
      <c r="R65" s="2">
        <v>63.540199999999999</v>
      </c>
      <c r="S65" s="2">
        <v>6.8235799999999998</v>
      </c>
      <c r="T65" s="3">
        <v>41.939300000000003</v>
      </c>
      <c r="U65" s="2">
        <v>33.098500000000001</v>
      </c>
      <c r="V65" s="2">
        <v>33.130600000000001</v>
      </c>
      <c r="W65" s="3">
        <v>45.928100000000001</v>
      </c>
      <c r="X65" s="2">
        <v>30.1264</v>
      </c>
      <c r="Y65" s="2">
        <v>48.703899999999997</v>
      </c>
      <c r="Z65" s="2">
        <v>3.95953</v>
      </c>
      <c r="AA65" s="2">
        <v>44.289400000000001</v>
      </c>
    </row>
    <row r="66" spans="7:27" x14ac:dyDescent="0.25">
      <c r="G66" s="18">
        <v>7</v>
      </c>
      <c r="H66" s="15">
        <v>132.85499999999999</v>
      </c>
      <c r="I66" s="2">
        <v>88.800299999999993</v>
      </c>
      <c r="J66" s="3">
        <v>72.633899999999997</v>
      </c>
      <c r="K66" s="2">
        <v>66.094999999999999</v>
      </c>
      <c r="L66" s="2">
        <v>98.908699999999996</v>
      </c>
      <c r="M66" s="2">
        <v>82.839299999999994</v>
      </c>
      <c r="N66" s="2">
        <v>0</v>
      </c>
      <c r="O66" s="2">
        <v>44.5974</v>
      </c>
      <c r="P66" s="2">
        <v>58.347900000000003</v>
      </c>
      <c r="Q66" s="3">
        <v>67.196299999999994</v>
      </c>
      <c r="R66" s="2">
        <v>40.149700000000003</v>
      </c>
      <c r="S66" s="2">
        <v>89.662800000000004</v>
      </c>
      <c r="T66" s="2">
        <v>66.916300000000007</v>
      </c>
      <c r="U66" s="3">
        <v>83.554199999999994</v>
      </c>
      <c r="V66" s="3">
        <v>60.738100000000003</v>
      </c>
      <c r="W66" s="3">
        <v>66.8078</v>
      </c>
      <c r="X66" s="2">
        <v>80.230599999999995</v>
      </c>
      <c r="Y66" s="2">
        <v>97.500200000000007</v>
      </c>
      <c r="Z66" s="2">
        <v>86.7988</v>
      </c>
      <c r="AA66" s="3">
        <v>49.579300000000003</v>
      </c>
    </row>
    <row r="67" spans="7:27" x14ac:dyDescent="0.25">
      <c r="G67" s="18">
        <v>8</v>
      </c>
      <c r="H67" s="15">
        <v>88.257199999999997</v>
      </c>
      <c r="I67" s="2">
        <v>59.798499999999997</v>
      </c>
      <c r="J67" s="3">
        <v>28.0365</v>
      </c>
      <c r="K67" s="3">
        <v>40.167099999999998</v>
      </c>
      <c r="L67" s="3">
        <v>59.670699999999997</v>
      </c>
      <c r="M67" s="3">
        <v>59.092399999999998</v>
      </c>
      <c r="N67" s="2">
        <v>44.5974</v>
      </c>
      <c r="O67" s="2">
        <v>0</v>
      </c>
      <c r="P67" s="3">
        <v>37.398000000000003</v>
      </c>
      <c r="Q67" s="2">
        <v>41.466000000000001</v>
      </c>
      <c r="R67" s="2">
        <v>4.4477399999999996</v>
      </c>
      <c r="S67" s="3">
        <v>58.936</v>
      </c>
      <c r="T67" s="2">
        <v>43.816499999999998</v>
      </c>
      <c r="U67" s="2">
        <v>55.292000000000002</v>
      </c>
      <c r="V67" s="2">
        <v>35.007800000000003</v>
      </c>
      <c r="W67" s="2">
        <v>22.2104</v>
      </c>
      <c r="X67" s="3">
        <v>35.633200000000002</v>
      </c>
      <c r="Y67" s="2">
        <v>52.902700000000003</v>
      </c>
      <c r="Z67" s="2">
        <v>63.052</v>
      </c>
      <c r="AA67" s="3">
        <v>46.166600000000003</v>
      </c>
    </row>
    <row r="68" spans="7:27" x14ac:dyDescent="0.25">
      <c r="G68" s="18">
        <v>9</v>
      </c>
      <c r="H68" s="15">
        <v>81.2346</v>
      </c>
      <c r="I68" s="2">
        <v>41.4818</v>
      </c>
      <c r="J68" s="3">
        <v>21.0138</v>
      </c>
      <c r="K68" s="2">
        <v>25.284300000000002</v>
      </c>
      <c r="L68" s="2">
        <v>47.603200000000001</v>
      </c>
      <c r="M68" s="2">
        <v>35.520800000000001</v>
      </c>
      <c r="N68" s="2">
        <v>58.347900000000003</v>
      </c>
      <c r="O68" s="3">
        <v>37.398000000000003</v>
      </c>
      <c r="P68" s="2">
        <v>0</v>
      </c>
      <c r="Q68" s="2">
        <v>8.8483999999999998</v>
      </c>
      <c r="R68" s="3">
        <v>41.845799999999997</v>
      </c>
      <c r="S68" s="3">
        <v>42.3444</v>
      </c>
      <c r="T68" s="3">
        <v>11.1989</v>
      </c>
      <c r="U68" s="2">
        <v>48.269399999999997</v>
      </c>
      <c r="V68" s="2">
        <v>2.3902000000000001</v>
      </c>
      <c r="W68" s="2">
        <v>15.1877</v>
      </c>
      <c r="X68" s="3">
        <v>41.655700000000003</v>
      </c>
      <c r="Y68" s="3">
        <v>48.010599999999997</v>
      </c>
      <c r="Z68" s="3">
        <v>31.561299999999999</v>
      </c>
      <c r="AA68" s="3">
        <v>8.7686100000000007</v>
      </c>
    </row>
    <row r="69" spans="7:27" x14ac:dyDescent="0.25">
      <c r="G69" s="18">
        <v>10</v>
      </c>
      <c r="H69" s="3">
        <v>85.302599999999998</v>
      </c>
      <c r="I69" s="2">
        <v>45.549799999999998</v>
      </c>
      <c r="J69" s="3">
        <v>25.081900000000001</v>
      </c>
      <c r="K69" s="2">
        <v>25.562899999999999</v>
      </c>
      <c r="L69" s="2">
        <v>41.258099999999999</v>
      </c>
      <c r="M69" s="3">
        <v>39.588799999999999</v>
      </c>
      <c r="N69" s="3">
        <v>67.196299999999994</v>
      </c>
      <c r="O69" s="2">
        <v>41.466000000000001</v>
      </c>
      <c r="P69" s="2">
        <v>8.8483999999999998</v>
      </c>
      <c r="Q69" s="2">
        <v>0</v>
      </c>
      <c r="R69" s="3">
        <v>45.913800000000002</v>
      </c>
      <c r="S69" s="2">
        <v>46.412399999999998</v>
      </c>
      <c r="T69" s="2">
        <v>10.545199999999999</v>
      </c>
      <c r="U69" s="2">
        <v>52.337400000000002</v>
      </c>
      <c r="V69" s="3">
        <v>6.4581999999999997</v>
      </c>
      <c r="W69" s="3">
        <v>19.255700000000001</v>
      </c>
      <c r="X69" s="3">
        <v>50.504100000000001</v>
      </c>
      <c r="Y69" s="3">
        <v>47.356900000000003</v>
      </c>
      <c r="Z69" s="3">
        <v>35.629300000000001</v>
      </c>
      <c r="AA69" s="3">
        <v>17.617000000000001</v>
      </c>
    </row>
    <row r="70" spans="7:27" x14ac:dyDescent="0.25">
      <c r="G70" s="18">
        <v>11</v>
      </c>
      <c r="H70" s="3">
        <v>92.704999999999998</v>
      </c>
      <c r="I70" s="3">
        <v>64.246300000000005</v>
      </c>
      <c r="J70" s="3">
        <v>32.484299999999998</v>
      </c>
      <c r="K70" s="3">
        <v>44.614800000000002</v>
      </c>
      <c r="L70" s="3">
        <v>64.118499999999997</v>
      </c>
      <c r="M70" s="2">
        <v>63.540199999999999</v>
      </c>
      <c r="N70" s="2">
        <v>40.149700000000003</v>
      </c>
      <c r="O70" s="2">
        <v>4.4477399999999996</v>
      </c>
      <c r="P70" s="3">
        <v>41.845799999999997</v>
      </c>
      <c r="Q70" s="3">
        <v>45.913800000000002</v>
      </c>
      <c r="R70" s="2">
        <v>0</v>
      </c>
      <c r="S70" s="2">
        <v>63.383699999999997</v>
      </c>
      <c r="T70" s="3">
        <v>48.264200000000002</v>
      </c>
      <c r="U70" s="2">
        <v>53.367600000000003</v>
      </c>
      <c r="V70" s="2">
        <v>39.455599999999997</v>
      </c>
      <c r="W70" s="2">
        <v>26.658100000000001</v>
      </c>
      <c r="X70" s="3">
        <v>40.0809</v>
      </c>
      <c r="Y70" s="2">
        <v>57.350499999999997</v>
      </c>
      <c r="Z70" s="2">
        <v>67.499700000000004</v>
      </c>
      <c r="AA70" s="2">
        <v>50.614400000000003</v>
      </c>
    </row>
    <row r="71" spans="7:27" x14ac:dyDescent="0.25">
      <c r="G71" s="18">
        <v>12</v>
      </c>
      <c r="H71" s="3">
        <v>69.400800000000004</v>
      </c>
      <c r="I71" s="2">
        <v>0.86256900000000003</v>
      </c>
      <c r="J71" s="3">
        <v>46.054299999999998</v>
      </c>
      <c r="K71" s="2">
        <v>58.184800000000003</v>
      </c>
      <c r="L71" s="3">
        <v>21.484300000000001</v>
      </c>
      <c r="M71" s="2">
        <v>6.8235799999999998</v>
      </c>
      <c r="N71" s="2">
        <v>89.662800000000004</v>
      </c>
      <c r="O71" s="3">
        <v>58.936</v>
      </c>
      <c r="P71" s="3">
        <v>42.3444</v>
      </c>
      <c r="Q71" s="2">
        <v>46.412399999999998</v>
      </c>
      <c r="R71" s="2">
        <v>63.383699999999997</v>
      </c>
      <c r="S71" s="2">
        <v>0</v>
      </c>
      <c r="T71" s="3">
        <v>48.762799999999999</v>
      </c>
      <c r="U71" s="2">
        <v>28.0001</v>
      </c>
      <c r="V71" s="2">
        <v>39.9542</v>
      </c>
      <c r="W71" s="3">
        <v>51.880400000000002</v>
      </c>
      <c r="X71" s="2">
        <v>23.302800000000001</v>
      </c>
      <c r="Y71" s="3">
        <v>41.887</v>
      </c>
      <c r="Z71" s="3">
        <v>10.783099999999999</v>
      </c>
      <c r="AA71" s="2">
        <v>51.113</v>
      </c>
    </row>
    <row r="72" spans="7:27" x14ac:dyDescent="0.25">
      <c r="G72" s="18">
        <v>13</v>
      </c>
      <c r="H72" s="3">
        <v>78.881200000000007</v>
      </c>
      <c r="I72" s="2">
        <v>47.900300000000001</v>
      </c>
      <c r="J72" s="2">
        <v>27.432300000000001</v>
      </c>
      <c r="K72" s="2">
        <v>33.852800000000002</v>
      </c>
      <c r="L72" s="3">
        <v>36.404400000000003</v>
      </c>
      <c r="M72" s="3">
        <v>41.939300000000003</v>
      </c>
      <c r="N72" s="2">
        <v>66.916300000000007</v>
      </c>
      <c r="O72" s="2">
        <v>43.816499999999998</v>
      </c>
      <c r="P72" s="3">
        <v>11.1989</v>
      </c>
      <c r="Q72" s="2">
        <v>10.545199999999999</v>
      </c>
      <c r="R72" s="3">
        <v>48.264200000000002</v>
      </c>
      <c r="S72" s="3">
        <v>48.762799999999999</v>
      </c>
      <c r="T72" s="2">
        <v>0</v>
      </c>
      <c r="U72" s="3">
        <v>54.687800000000003</v>
      </c>
      <c r="V72" s="3">
        <v>8.8086699999999993</v>
      </c>
      <c r="W72" s="2">
        <v>21.606100000000001</v>
      </c>
      <c r="X72" s="2">
        <v>52.854599999999998</v>
      </c>
      <c r="Y72" s="3">
        <v>36.811700000000002</v>
      </c>
      <c r="Z72" s="3">
        <v>37.979700000000001</v>
      </c>
      <c r="AA72" s="2">
        <v>17.337</v>
      </c>
    </row>
    <row r="73" spans="7:27" x14ac:dyDescent="0.25">
      <c r="G73" s="18">
        <v>14</v>
      </c>
      <c r="H73" s="15">
        <v>87.476200000000006</v>
      </c>
      <c r="I73" s="2">
        <v>27.137499999999999</v>
      </c>
      <c r="J73" s="2">
        <v>27.255500000000001</v>
      </c>
      <c r="K73" s="2">
        <v>39.386000000000003</v>
      </c>
      <c r="L73" s="2">
        <v>44.490099999999998</v>
      </c>
      <c r="M73" s="2">
        <v>33.098500000000001</v>
      </c>
      <c r="N73" s="3">
        <v>83.554199999999994</v>
      </c>
      <c r="O73" s="2">
        <v>55.292000000000002</v>
      </c>
      <c r="P73" s="2">
        <v>48.269399999999997</v>
      </c>
      <c r="Q73" s="2">
        <v>52.337400000000002</v>
      </c>
      <c r="R73" s="2">
        <v>53.367600000000003</v>
      </c>
      <c r="S73" s="2">
        <v>28.0001</v>
      </c>
      <c r="T73" s="3">
        <v>54.687800000000003</v>
      </c>
      <c r="U73" s="2">
        <v>0</v>
      </c>
      <c r="V73" s="2">
        <v>45.879199999999997</v>
      </c>
      <c r="W73" s="2">
        <v>33.081699999999998</v>
      </c>
      <c r="X73" s="3">
        <v>49.758400000000002</v>
      </c>
      <c r="Y73" s="3">
        <v>55.314599999999999</v>
      </c>
      <c r="Z73" s="3">
        <v>37.058100000000003</v>
      </c>
      <c r="AA73" s="2">
        <v>55.901800000000001</v>
      </c>
    </row>
    <row r="74" spans="7:27" x14ac:dyDescent="0.25">
      <c r="G74" s="18">
        <v>15</v>
      </c>
      <c r="H74" s="15">
        <v>78.844399999999993</v>
      </c>
      <c r="I74" s="2">
        <v>39.0916</v>
      </c>
      <c r="J74" s="3">
        <v>18.623699999999999</v>
      </c>
      <c r="K74" s="2">
        <v>27.674499999999998</v>
      </c>
      <c r="L74" s="2">
        <v>45.213000000000001</v>
      </c>
      <c r="M74" s="2">
        <v>33.130600000000001</v>
      </c>
      <c r="N74" s="3">
        <v>60.738100000000003</v>
      </c>
      <c r="O74" s="2">
        <v>35.007800000000003</v>
      </c>
      <c r="P74" s="2">
        <v>2.3902000000000001</v>
      </c>
      <c r="Q74" s="3">
        <v>6.4581999999999997</v>
      </c>
      <c r="R74" s="2">
        <v>39.455599999999997</v>
      </c>
      <c r="S74" s="2">
        <v>39.9542</v>
      </c>
      <c r="T74" s="3">
        <v>8.8086699999999993</v>
      </c>
      <c r="U74" s="2">
        <v>45.879199999999997</v>
      </c>
      <c r="V74" s="2">
        <v>0</v>
      </c>
      <c r="W74" s="2">
        <v>12.797499999999999</v>
      </c>
      <c r="X74" s="3">
        <v>44.045900000000003</v>
      </c>
      <c r="Y74" s="2">
        <v>45.620399999999997</v>
      </c>
      <c r="Z74" s="3">
        <v>29.171099999999999</v>
      </c>
      <c r="AA74" s="3">
        <v>11.158799999999999</v>
      </c>
    </row>
    <row r="75" spans="7:27" x14ac:dyDescent="0.25">
      <c r="G75" s="18">
        <v>16</v>
      </c>
      <c r="H75" s="15">
        <v>66.046899999999994</v>
      </c>
      <c r="I75" s="3">
        <v>51.889099999999999</v>
      </c>
      <c r="J75" s="3">
        <v>5.8261700000000003</v>
      </c>
      <c r="K75" s="2">
        <v>17.956700000000001</v>
      </c>
      <c r="L75" s="2">
        <v>58.0105</v>
      </c>
      <c r="M75" s="3">
        <v>45.928100000000001</v>
      </c>
      <c r="N75" s="3">
        <v>66.8078</v>
      </c>
      <c r="O75" s="2">
        <v>22.2104</v>
      </c>
      <c r="P75" s="2">
        <v>15.1877</v>
      </c>
      <c r="Q75" s="3">
        <v>19.255700000000001</v>
      </c>
      <c r="R75" s="2">
        <v>26.658100000000001</v>
      </c>
      <c r="S75" s="3">
        <v>51.880400000000002</v>
      </c>
      <c r="T75" s="2">
        <v>21.606100000000001</v>
      </c>
      <c r="U75" s="2">
        <v>33.081699999999998</v>
      </c>
      <c r="V75" s="2">
        <v>12.797499999999999</v>
      </c>
      <c r="W75" s="2">
        <v>0</v>
      </c>
      <c r="X75" s="3">
        <v>56.843400000000003</v>
      </c>
      <c r="Y75" s="2">
        <v>50.482999999999997</v>
      </c>
      <c r="Z75" s="2">
        <v>41.968499999999999</v>
      </c>
      <c r="AA75" s="2">
        <v>23.956299999999999</v>
      </c>
    </row>
    <row r="76" spans="7:27" x14ac:dyDescent="0.25">
      <c r="G76" s="18">
        <v>17</v>
      </c>
      <c r="H76" s="15">
        <v>92.703599999999994</v>
      </c>
      <c r="I76" s="3">
        <v>24.165400000000002</v>
      </c>
      <c r="J76" s="2">
        <v>62.669600000000003</v>
      </c>
      <c r="K76" s="3">
        <v>66.940100000000001</v>
      </c>
      <c r="L76" s="2">
        <v>44.787100000000002</v>
      </c>
      <c r="M76" s="2">
        <v>30.1264</v>
      </c>
      <c r="N76" s="2">
        <v>80.230599999999995</v>
      </c>
      <c r="O76" s="3">
        <v>35.633200000000002</v>
      </c>
      <c r="P76" s="3">
        <v>41.655700000000003</v>
      </c>
      <c r="Q76" s="3">
        <v>50.504100000000001</v>
      </c>
      <c r="R76" s="3">
        <v>40.0809</v>
      </c>
      <c r="S76" s="2">
        <v>23.302800000000001</v>
      </c>
      <c r="T76" s="2">
        <v>52.854599999999998</v>
      </c>
      <c r="U76" s="3">
        <v>49.758400000000002</v>
      </c>
      <c r="V76" s="3">
        <v>44.045900000000003</v>
      </c>
      <c r="W76" s="3">
        <v>56.843400000000003</v>
      </c>
      <c r="X76" s="2">
        <v>0</v>
      </c>
      <c r="Y76" s="3">
        <v>65.189800000000005</v>
      </c>
      <c r="Z76" s="2">
        <v>34.085900000000002</v>
      </c>
      <c r="AA76" s="2">
        <v>50.424300000000002</v>
      </c>
    </row>
    <row r="77" spans="7:27" x14ac:dyDescent="0.25">
      <c r="G77" s="18">
        <v>18</v>
      </c>
      <c r="H77" s="15">
        <v>104.878</v>
      </c>
      <c r="I77" s="3">
        <v>42.742899999999999</v>
      </c>
      <c r="J77" s="2">
        <v>44.656799999999997</v>
      </c>
      <c r="K77" s="2">
        <v>56.787399999999998</v>
      </c>
      <c r="L77" s="2">
        <v>20.402699999999999</v>
      </c>
      <c r="M77" s="2">
        <v>48.703899999999997</v>
      </c>
      <c r="N77" s="2">
        <v>97.500200000000007</v>
      </c>
      <c r="O77" s="2">
        <v>52.902700000000003</v>
      </c>
      <c r="P77" s="3">
        <v>48.010599999999997</v>
      </c>
      <c r="Q77" s="3">
        <v>47.356900000000003</v>
      </c>
      <c r="R77" s="2">
        <v>57.350499999999997</v>
      </c>
      <c r="S77" s="3">
        <v>41.887</v>
      </c>
      <c r="T77" s="3">
        <v>36.811700000000002</v>
      </c>
      <c r="U77" s="3">
        <v>55.314599999999999</v>
      </c>
      <c r="V77" s="2">
        <v>45.620399999999997</v>
      </c>
      <c r="W77" s="2">
        <v>50.482999999999997</v>
      </c>
      <c r="X77" s="3">
        <v>65.189800000000005</v>
      </c>
      <c r="Y77" s="2">
        <v>0</v>
      </c>
      <c r="Z77" s="3">
        <v>52.663400000000003</v>
      </c>
      <c r="AA77" s="2">
        <v>54.148800000000001</v>
      </c>
    </row>
    <row r="78" spans="7:27" x14ac:dyDescent="0.25">
      <c r="G78" s="18">
        <v>19</v>
      </c>
      <c r="H78" s="15">
        <v>70.953800000000001</v>
      </c>
      <c r="I78" s="2">
        <v>9.9205400000000008</v>
      </c>
      <c r="J78" s="3">
        <v>47.794699999999999</v>
      </c>
      <c r="K78" s="2">
        <v>56.845599999999997</v>
      </c>
      <c r="L78" s="2">
        <v>32.267400000000002</v>
      </c>
      <c r="M78" s="2">
        <v>3.95953</v>
      </c>
      <c r="N78" s="2">
        <v>86.7988</v>
      </c>
      <c r="O78" s="2">
        <v>63.052</v>
      </c>
      <c r="P78" s="3">
        <v>31.561299999999999</v>
      </c>
      <c r="Q78" s="3">
        <v>35.629300000000001</v>
      </c>
      <c r="R78" s="2">
        <v>67.499700000000004</v>
      </c>
      <c r="S78" s="3">
        <v>10.783099999999999</v>
      </c>
      <c r="T78" s="3">
        <v>37.979700000000001</v>
      </c>
      <c r="U78" s="3">
        <v>37.058100000000003</v>
      </c>
      <c r="V78" s="3">
        <v>29.171099999999999</v>
      </c>
      <c r="W78" s="2">
        <v>41.968499999999999</v>
      </c>
      <c r="X78" s="2">
        <v>34.085900000000002</v>
      </c>
      <c r="Y78" s="3">
        <v>52.663400000000003</v>
      </c>
      <c r="Z78" s="2">
        <v>0</v>
      </c>
      <c r="AA78" s="3">
        <v>40.329900000000002</v>
      </c>
    </row>
    <row r="79" spans="7:27" ht="15.75" thickBot="1" x14ac:dyDescent="0.3">
      <c r="G79" s="19">
        <v>20</v>
      </c>
      <c r="H79" s="15">
        <v>88.867000000000004</v>
      </c>
      <c r="I79" s="2">
        <v>50.250399999999999</v>
      </c>
      <c r="J79" s="3">
        <v>28.6463</v>
      </c>
      <c r="K79" s="2">
        <v>16.515699999999999</v>
      </c>
      <c r="L79" s="3">
        <v>53.741399999999999</v>
      </c>
      <c r="M79" s="2">
        <v>44.289400000000001</v>
      </c>
      <c r="N79" s="3">
        <v>49.579300000000003</v>
      </c>
      <c r="O79" s="3">
        <v>46.166600000000003</v>
      </c>
      <c r="P79" s="3">
        <v>8.7686100000000007</v>
      </c>
      <c r="Q79" s="3">
        <v>17.617000000000001</v>
      </c>
      <c r="R79" s="2">
        <v>50.614400000000003</v>
      </c>
      <c r="S79" s="2">
        <v>51.113</v>
      </c>
      <c r="T79" s="2">
        <v>17.337</v>
      </c>
      <c r="U79" s="2">
        <v>55.901800000000001</v>
      </c>
      <c r="V79" s="3">
        <v>11.158799999999999</v>
      </c>
      <c r="W79" s="2">
        <v>23.956299999999999</v>
      </c>
      <c r="X79" s="2">
        <v>50.424300000000002</v>
      </c>
      <c r="Y79" s="2">
        <v>54.148800000000001</v>
      </c>
      <c r="Z79" s="3">
        <v>40.329900000000002</v>
      </c>
      <c r="AA79" s="2">
        <v>0</v>
      </c>
    </row>
    <row r="82" spans="7:27" ht="15.75" thickBot="1" x14ac:dyDescent="0.3">
      <c r="H82" t="s">
        <v>30</v>
      </c>
      <c r="I82" t="s">
        <v>31</v>
      </c>
    </row>
    <row r="83" spans="7:27" ht="15.75" thickBot="1" x14ac:dyDescent="0.3">
      <c r="H83" s="16">
        <v>1</v>
      </c>
      <c r="I83" s="20">
        <v>2</v>
      </c>
      <c r="J83" s="21">
        <v>3</v>
      </c>
      <c r="K83" s="21">
        <v>4</v>
      </c>
      <c r="L83" s="21">
        <v>5</v>
      </c>
      <c r="M83" s="21">
        <v>6</v>
      </c>
      <c r="N83" s="21">
        <v>7</v>
      </c>
      <c r="O83" s="21">
        <v>8</v>
      </c>
      <c r="P83" s="21">
        <v>9</v>
      </c>
      <c r="Q83" s="21">
        <v>10</v>
      </c>
      <c r="R83" s="21">
        <v>11</v>
      </c>
      <c r="S83" s="21">
        <v>12</v>
      </c>
      <c r="T83" s="21">
        <v>13</v>
      </c>
      <c r="U83" s="21">
        <v>14</v>
      </c>
      <c r="V83" s="21">
        <v>15</v>
      </c>
      <c r="W83" s="21">
        <v>16</v>
      </c>
      <c r="X83" s="21">
        <v>17</v>
      </c>
      <c r="Y83" s="21">
        <v>18</v>
      </c>
      <c r="Z83" s="21">
        <v>19</v>
      </c>
      <c r="AA83" s="22">
        <v>20</v>
      </c>
    </row>
    <row r="84" spans="7:27" x14ac:dyDescent="0.25">
      <c r="G84" s="23">
        <v>1</v>
      </c>
      <c r="H84">
        <v>1</v>
      </c>
      <c r="I84">
        <v>12</v>
      </c>
      <c r="J84">
        <v>1</v>
      </c>
      <c r="K84">
        <v>3</v>
      </c>
      <c r="L84">
        <v>12</v>
      </c>
      <c r="M84">
        <v>1</v>
      </c>
      <c r="N84">
        <v>11</v>
      </c>
      <c r="O84">
        <v>16</v>
      </c>
      <c r="P84">
        <v>15</v>
      </c>
      <c r="Q84">
        <v>15</v>
      </c>
      <c r="R84">
        <v>8</v>
      </c>
      <c r="S84">
        <v>1</v>
      </c>
      <c r="T84">
        <v>1</v>
      </c>
      <c r="U84">
        <v>3</v>
      </c>
      <c r="V84">
        <v>16</v>
      </c>
      <c r="W84">
        <v>3</v>
      </c>
      <c r="X84">
        <v>12</v>
      </c>
      <c r="Y84">
        <v>3</v>
      </c>
      <c r="Z84">
        <v>6</v>
      </c>
      <c r="AA84">
        <v>4</v>
      </c>
    </row>
    <row r="85" spans="7:27" x14ac:dyDescent="0.25">
      <c r="G85" s="17">
        <v>2</v>
      </c>
      <c r="H85">
        <v>12</v>
      </c>
      <c r="I85">
        <v>2</v>
      </c>
      <c r="J85">
        <v>12</v>
      </c>
      <c r="K85">
        <v>3</v>
      </c>
      <c r="L85">
        <v>12</v>
      </c>
      <c r="M85">
        <v>2</v>
      </c>
      <c r="N85">
        <v>6</v>
      </c>
      <c r="O85">
        <v>17</v>
      </c>
      <c r="P85">
        <v>15</v>
      </c>
      <c r="Q85">
        <v>15</v>
      </c>
      <c r="R85">
        <v>8</v>
      </c>
      <c r="S85">
        <v>2</v>
      </c>
      <c r="T85">
        <v>15</v>
      </c>
      <c r="U85">
        <v>2</v>
      </c>
      <c r="V85">
        <v>19</v>
      </c>
      <c r="W85">
        <v>15</v>
      </c>
      <c r="X85">
        <v>12</v>
      </c>
      <c r="Y85">
        <v>2</v>
      </c>
      <c r="Z85">
        <v>6</v>
      </c>
      <c r="AA85">
        <v>9</v>
      </c>
    </row>
    <row r="86" spans="7:27" x14ac:dyDescent="0.25">
      <c r="G86" s="18">
        <v>3</v>
      </c>
      <c r="H86">
        <v>3</v>
      </c>
      <c r="I86">
        <v>12</v>
      </c>
      <c r="J86">
        <v>3</v>
      </c>
      <c r="K86">
        <v>3</v>
      </c>
      <c r="L86">
        <v>13</v>
      </c>
      <c r="M86">
        <v>19</v>
      </c>
      <c r="N86">
        <v>11</v>
      </c>
      <c r="O86">
        <v>16</v>
      </c>
      <c r="P86">
        <v>15</v>
      </c>
      <c r="Q86">
        <v>15</v>
      </c>
      <c r="R86">
        <v>8</v>
      </c>
      <c r="S86">
        <v>3</v>
      </c>
      <c r="T86">
        <v>15</v>
      </c>
      <c r="U86">
        <v>3</v>
      </c>
      <c r="V86">
        <v>16</v>
      </c>
      <c r="W86">
        <v>3</v>
      </c>
      <c r="X86">
        <v>9</v>
      </c>
      <c r="Y86">
        <v>3</v>
      </c>
      <c r="Z86">
        <v>15</v>
      </c>
      <c r="AA86">
        <v>4</v>
      </c>
    </row>
    <row r="87" spans="7:27" x14ac:dyDescent="0.25">
      <c r="G87" s="18">
        <v>4</v>
      </c>
      <c r="H87">
        <v>3</v>
      </c>
      <c r="I87">
        <v>12</v>
      </c>
      <c r="J87">
        <v>4</v>
      </c>
      <c r="K87">
        <v>4</v>
      </c>
      <c r="L87">
        <v>10</v>
      </c>
      <c r="M87">
        <v>19</v>
      </c>
      <c r="N87">
        <v>20</v>
      </c>
      <c r="O87">
        <v>16</v>
      </c>
      <c r="P87">
        <v>20</v>
      </c>
      <c r="Q87">
        <v>4</v>
      </c>
      <c r="R87">
        <v>8</v>
      </c>
      <c r="S87">
        <v>3</v>
      </c>
      <c r="T87">
        <v>20</v>
      </c>
      <c r="U87">
        <v>3</v>
      </c>
      <c r="V87">
        <v>9</v>
      </c>
      <c r="W87">
        <v>3</v>
      </c>
      <c r="X87">
        <v>9</v>
      </c>
      <c r="Y87">
        <v>3</v>
      </c>
      <c r="Z87">
        <v>15</v>
      </c>
      <c r="AA87">
        <v>4</v>
      </c>
    </row>
    <row r="88" spans="7:27" x14ac:dyDescent="0.25">
      <c r="G88" s="18">
        <v>5</v>
      </c>
      <c r="H88">
        <v>12</v>
      </c>
      <c r="I88">
        <v>12</v>
      </c>
      <c r="J88">
        <v>16</v>
      </c>
      <c r="K88">
        <v>10</v>
      </c>
      <c r="L88">
        <v>5</v>
      </c>
      <c r="M88">
        <v>2</v>
      </c>
      <c r="N88">
        <v>5</v>
      </c>
      <c r="O88">
        <v>5</v>
      </c>
      <c r="P88">
        <v>15</v>
      </c>
      <c r="Q88">
        <v>5</v>
      </c>
      <c r="R88">
        <v>8</v>
      </c>
      <c r="S88">
        <v>5</v>
      </c>
      <c r="T88">
        <v>5</v>
      </c>
      <c r="U88">
        <v>5</v>
      </c>
      <c r="V88">
        <v>13</v>
      </c>
      <c r="W88">
        <v>15</v>
      </c>
      <c r="X88">
        <v>12</v>
      </c>
      <c r="Y88">
        <v>5</v>
      </c>
      <c r="Z88">
        <v>6</v>
      </c>
      <c r="AA88">
        <v>13</v>
      </c>
    </row>
    <row r="89" spans="7:27" x14ac:dyDescent="0.25">
      <c r="G89" s="18">
        <v>6</v>
      </c>
      <c r="H89">
        <v>6</v>
      </c>
      <c r="I89">
        <v>6</v>
      </c>
      <c r="J89">
        <v>16</v>
      </c>
      <c r="K89">
        <v>20</v>
      </c>
      <c r="L89">
        <v>12</v>
      </c>
      <c r="M89">
        <v>6</v>
      </c>
      <c r="N89">
        <v>6</v>
      </c>
      <c r="O89">
        <v>6</v>
      </c>
      <c r="P89">
        <v>15</v>
      </c>
      <c r="Q89">
        <v>15</v>
      </c>
      <c r="R89">
        <v>8</v>
      </c>
      <c r="S89">
        <v>2</v>
      </c>
      <c r="T89">
        <v>15</v>
      </c>
      <c r="U89">
        <v>2</v>
      </c>
      <c r="V89">
        <v>19</v>
      </c>
      <c r="W89">
        <v>15</v>
      </c>
      <c r="X89">
        <v>12</v>
      </c>
      <c r="Y89">
        <v>2</v>
      </c>
      <c r="Z89">
        <v>6</v>
      </c>
      <c r="AA89">
        <v>9</v>
      </c>
    </row>
    <row r="90" spans="7:27" x14ac:dyDescent="0.25">
      <c r="G90" s="18">
        <v>7</v>
      </c>
      <c r="H90">
        <v>3</v>
      </c>
      <c r="I90">
        <v>6</v>
      </c>
      <c r="J90">
        <v>16</v>
      </c>
      <c r="K90">
        <v>20</v>
      </c>
      <c r="L90">
        <v>7</v>
      </c>
      <c r="M90">
        <v>7</v>
      </c>
      <c r="N90">
        <v>7</v>
      </c>
      <c r="O90">
        <v>11</v>
      </c>
      <c r="P90">
        <v>20</v>
      </c>
      <c r="Q90">
        <v>15</v>
      </c>
      <c r="R90">
        <v>7</v>
      </c>
      <c r="S90">
        <v>2</v>
      </c>
      <c r="T90">
        <v>20</v>
      </c>
      <c r="U90">
        <v>7</v>
      </c>
      <c r="V90">
        <v>9</v>
      </c>
      <c r="W90">
        <v>8</v>
      </c>
      <c r="X90">
        <v>8</v>
      </c>
      <c r="Y90">
        <v>8</v>
      </c>
      <c r="Z90">
        <v>6</v>
      </c>
      <c r="AA90">
        <v>7</v>
      </c>
    </row>
    <row r="91" spans="7:27" x14ac:dyDescent="0.25">
      <c r="G91" s="18">
        <v>8</v>
      </c>
      <c r="H91">
        <v>3</v>
      </c>
      <c r="I91">
        <v>12</v>
      </c>
      <c r="J91">
        <v>16</v>
      </c>
      <c r="K91">
        <v>3</v>
      </c>
      <c r="L91">
        <v>8</v>
      </c>
      <c r="M91">
        <v>8</v>
      </c>
      <c r="N91">
        <v>11</v>
      </c>
      <c r="O91">
        <v>8</v>
      </c>
      <c r="P91">
        <v>15</v>
      </c>
      <c r="Q91">
        <v>15</v>
      </c>
      <c r="R91">
        <v>8</v>
      </c>
      <c r="S91">
        <v>17</v>
      </c>
      <c r="T91">
        <v>15</v>
      </c>
      <c r="U91">
        <v>3</v>
      </c>
      <c r="V91">
        <v>16</v>
      </c>
      <c r="W91">
        <v>8</v>
      </c>
      <c r="X91">
        <v>8</v>
      </c>
      <c r="Y91">
        <v>8</v>
      </c>
      <c r="Z91">
        <v>6</v>
      </c>
      <c r="AA91">
        <v>9</v>
      </c>
    </row>
    <row r="92" spans="7:27" x14ac:dyDescent="0.25">
      <c r="G92" s="18">
        <v>9</v>
      </c>
      <c r="H92">
        <v>3</v>
      </c>
      <c r="I92">
        <v>6</v>
      </c>
      <c r="J92">
        <v>16</v>
      </c>
      <c r="K92">
        <v>20</v>
      </c>
      <c r="L92">
        <v>13</v>
      </c>
      <c r="M92">
        <v>19</v>
      </c>
      <c r="N92">
        <v>20</v>
      </c>
      <c r="O92">
        <v>16</v>
      </c>
      <c r="P92">
        <v>9</v>
      </c>
      <c r="Q92">
        <v>15</v>
      </c>
      <c r="R92">
        <v>8</v>
      </c>
      <c r="S92">
        <v>2</v>
      </c>
      <c r="T92">
        <v>15</v>
      </c>
      <c r="U92">
        <v>3</v>
      </c>
      <c r="V92">
        <v>9</v>
      </c>
      <c r="W92">
        <v>15</v>
      </c>
      <c r="X92">
        <v>9</v>
      </c>
      <c r="Y92">
        <v>13</v>
      </c>
      <c r="Z92">
        <v>15</v>
      </c>
      <c r="AA92">
        <v>9</v>
      </c>
    </row>
    <row r="93" spans="7:27" x14ac:dyDescent="0.25">
      <c r="G93" s="18">
        <v>10</v>
      </c>
      <c r="H93">
        <v>3</v>
      </c>
      <c r="I93">
        <v>6</v>
      </c>
      <c r="J93">
        <v>16</v>
      </c>
      <c r="K93">
        <v>10</v>
      </c>
      <c r="L93">
        <v>10</v>
      </c>
      <c r="M93">
        <v>19</v>
      </c>
      <c r="N93">
        <v>20</v>
      </c>
      <c r="O93">
        <v>16</v>
      </c>
      <c r="P93">
        <v>15</v>
      </c>
      <c r="Q93">
        <v>10</v>
      </c>
      <c r="R93">
        <v>8</v>
      </c>
      <c r="S93">
        <v>2</v>
      </c>
      <c r="T93">
        <v>10</v>
      </c>
      <c r="U93">
        <v>3</v>
      </c>
      <c r="V93">
        <v>10</v>
      </c>
      <c r="W93">
        <v>15</v>
      </c>
      <c r="X93">
        <v>9</v>
      </c>
      <c r="Y93">
        <v>13</v>
      </c>
      <c r="Z93">
        <v>15</v>
      </c>
      <c r="AA93">
        <v>9</v>
      </c>
    </row>
    <row r="94" spans="7:27" x14ac:dyDescent="0.25">
      <c r="G94" s="18">
        <v>11</v>
      </c>
      <c r="H94">
        <v>3</v>
      </c>
      <c r="I94">
        <v>12</v>
      </c>
      <c r="J94">
        <v>16</v>
      </c>
      <c r="K94">
        <v>3</v>
      </c>
      <c r="L94">
        <v>8</v>
      </c>
      <c r="M94">
        <v>8</v>
      </c>
      <c r="N94">
        <v>11</v>
      </c>
      <c r="O94">
        <v>11</v>
      </c>
      <c r="P94">
        <v>15</v>
      </c>
      <c r="Q94">
        <v>15</v>
      </c>
      <c r="R94">
        <v>11</v>
      </c>
      <c r="S94">
        <v>17</v>
      </c>
      <c r="T94">
        <v>15</v>
      </c>
      <c r="U94">
        <v>11</v>
      </c>
      <c r="V94">
        <v>16</v>
      </c>
      <c r="W94">
        <v>8</v>
      </c>
      <c r="X94">
        <v>8</v>
      </c>
      <c r="Y94">
        <v>8</v>
      </c>
      <c r="Z94">
        <v>6</v>
      </c>
      <c r="AA94">
        <v>9</v>
      </c>
    </row>
    <row r="95" spans="7:27" x14ac:dyDescent="0.25">
      <c r="G95" s="18">
        <v>12</v>
      </c>
      <c r="H95">
        <v>12</v>
      </c>
      <c r="I95">
        <v>12</v>
      </c>
      <c r="J95">
        <v>12</v>
      </c>
      <c r="K95">
        <v>3</v>
      </c>
      <c r="L95">
        <v>12</v>
      </c>
      <c r="M95">
        <v>2</v>
      </c>
      <c r="N95">
        <v>6</v>
      </c>
      <c r="O95">
        <v>17</v>
      </c>
      <c r="P95">
        <v>15</v>
      </c>
      <c r="Q95">
        <v>15</v>
      </c>
      <c r="R95">
        <v>8</v>
      </c>
      <c r="S95">
        <v>12</v>
      </c>
      <c r="T95">
        <v>15</v>
      </c>
      <c r="U95">
        <v>2</v>
      </c>
      <c r="V95">
        <v>19</v>
      </c>
      <c r="W95">
        <v>3</v>
      </c>
      <c r="X95">
        <v>12</v>
      </c>
      <c r="Y95">
        <v>5</v>
      </c>
      <c r="Z95">
        <v>6</v>
      </c>
      <c r="AA95">
        <v>9</v>
      </c>
    </row>
    <row r="96" spans="7:27" x14ac:dyDescent="0.25">
      <c r="G96" s="18">
        <v>13</v>
      </c>
      <c r="H96">
        <v>13</v>
      </c>
      <c r="I96">
        <v>6</v>
      </c>
      <c r="J96">
        <v>16</v>
      </c>
      <c r="K96">
        <v>20</v>
      </c>
      <c r="L96">
        <v>13</v>
      </c>
      <c r="M96">
        <v>19</v>
      </c>
      <c r="N96">
        <v>20</v>
      </c>
      <c r="O96">
        <v>16</v>
      </c>
      <c r="P96">
        <v>15</v>
      </c>
      <c r="Q96">
        <v>13</v>
      </c>
      <c r="R96">
        <v>8</v>
      </c>
      <c r="S96">
        <v>2</v>
      </c>
      <c r="T96">
        <v>13</v>
      </c>
      <c r="U96">
        <v>3</v>
      </c>
      <c r="V96">
        <v>13</v>
      </c>
      <c r="W96">
        <v>15</v>
      </c>
      <c r="X96">
        <v>9</v>
      </c>
      <c r="Y96">
        <v>13</v>
      </c>
      <c r="Z96">
        <v>15</v>
      </c>
      <c r="AA96">
        <v>13</v>
      </c>
    </row>
    <row r="97" spans="7:28" x14ac:dyDescent="0.25">
      <c r="G97" s="18">
        <v>14</v>
      </c>
      <c r="H97">
        <v>3</v>
      </c>
      <c r="I97">
        <v>14</v>
      </c>
      <c r="J97">
        <v>14</v>
      </c>
      <c r="K97">
        <v>3</v>
      </c>
      <c r="L97">
        <v>14</v>
      </c>
      <c r="M97">
        <v>2</v>
      </c>
      <c r="N97">
        <v>14</v>
      </c>
      <c r="O97">
        <v>16</v>
      </c>
      <c r="P97">
        <v>15</v>
      </c>
      <c r="Q97">
        <v>15</v>
      </c>
      <c r="R97">
        <v>14</v>
      </c>
      <c r="S97">
        <v>2</v>
      </c>
      <c r="T97">
        <v>15</v>
      </c>
      <c r="U97">
        <v>14</v>
      </c>
      <c r="V97">
        <v>16</v>
      </c>
      <c r="W97">
        <v>3</v>
      </c>
      <c r="X97">
        <v>14</v>
      </c>
      <c r="Y97">
        <v>14</v>
      </c>
      <c r="Z97">
        <v>6</v>
      </c>
      <c r="AA97">
        <v>4</v>
      </c>
    </row>
    <row r="98" spans="7:28" x14ac:dyDescent="0.25">
      <c r="G98" s="18">
        <v>15</v>
      </c>
      <c r="H98">
        <v>3</v>
      </c>
      <c r="I98">
        <v>6</v>
      </c>
      <c r="J98">
        <v>16</v>
      </c>
      <c r="K98">
        <v>20</v>
      </c>
      <c r="L98">
        <v>13</v>
      </c>
      <c r="M98">
        <v>19</v>
      </c>
      <c r="N98">
        <v>20</v>
      </c>
      <c r="O98">
        <v>16</v>
      </c>
      <c r="P98">
        <v>15</v>
      </c>
      <c r="Q98">
        <v>15</v>
      </c>
      <c r="R98">
        <v>8</v>
      </c>
      <c r="S98">
        <v>2</v>
      </c>
      <c r="T98">
        <v>15</v>
      </c>
      <c r="U98">
        <v>3</v>
      </c>
      <c r="V98">
        <v>15</v>
      </c>
      <c r="W98">
        <v>15</v>
      </c>
      <c r="X98">
        <v>9</v>
      </c>
      <c r="Y98">
        <v>13</v>
      </c>
      <c r="Z98">
        <v>15</v>
      </c>
      <c r="AA98">
        <v>9</v>
      </c>
    </row>
    <row r="99" spans="7:28" x14ac:dyDescent="0.25">
      <c r="G99" s="18">
        <v>16</v>
      </c>
      <c r="H99">
        <v>3</v>
      </c>
      <c r="I99">
        <v>6</v>
      </c>
      <c r="J99">
        <v>16</v>
      </c>
      <c r="K99">
        <v>3</v>
      </c>
      <c r="L99">
        <v>13</v>
      </c>
      <c r="M99">
        <v>19</v>
      </c>
      <c r="N99">
        <v>11</v>
      </c>
      <c r="O99">
        <v>16</v>
      </c>
      <c r="P99">
        <v>15</v>
      </c>
      <c r="Q99">
        <v>15</v>
      </c>
      <c r="R99">
        <v>8</v>
      </c>
      <c r="S99">
        <v>3</v>
      </c>
      <c r="T99">
        <v>15</v>
      </c>
      <c r="U99">
        <v>3</v>
      </c>
      <c r="V99">
        <v>16</v>
      </c>
      <c r="W99">
        <v>16</v>
      </c>
      <c r="X99">
        <v>9</v>
      </c>
      <c r="Y99">
        <v>3</v>
      </c>
      <c r="Z99">
        <v>15</v>
      </c>
      <c r="AA99">
        <v>9</v>
      </c>
    </row>
    <row r="100" spans="7:28" x14ac:dyDescent="0.25">
      <c r="G100" s="18">
        <v>17</v>
      </c>
      <c r="H100">
        <v>12</v>
      </c>
      <c r="I100">
        <v>12</v>
      </c>
      <c r="J100">
        <v>16</v>
      </c>
      <c r="K100">
        <v>20</v>
      </c>
      <c r="L100">
        <v>12</v>
      </c>
      <c r="M100">
        <v>2</v>
      </c>
      <c r="N100">
        <v>11</v>
      </c>
      <c r="O100">
        <v>17</v>
      </c>
      <c r="P100">
        <v>17</v>
      </c>
      <c r="Q100">
        <v>15</v>
      </c>
      <c r="R100">
        <v>8</v>
      </c>
      <c r="S100">
        <v>17</v>
      </c>
      <c r="T100">
        <v>15</v>
      </c>
      <c r="U100">
        <v>17</v>
      </c>
      <c r="V100">
        <v>9</v>
      </c>
      <c r="W100">
        <v>15</v>
      </c>
      <c r="X100">
        <v>17</v>
      </c>
      <c r="Y100">
        <v>5</v>
      </c>
      <c r="Z100">
        <v>6</v>
      </c>
      <c r="AA100">
        <v>9</v>
      </c>
    </row>
    <row r="101" spans="7:28" x14ac:dyDescent="0.25">
      <c r="G101" s="18">
        <v>18</v>
      </c>
      <c r="H101">
        <v>3</v>
      </c>
      <c r="I101">
        <v>18</v>
      </c>
      <c r="J101">
        <v>18</v>
      </c>
      <c r="K101">
        <v>3</v>
      </c>
      <c r="L101">
        <v>18</v>
      </c>
      <c r="M101">
        <v>2</v>
      </c>
      <c r="N101">
        <v>11</v>
      </c>
      <c r="O101">
        <v>18</v>
      </c>
      <c r="P101">
        <v>15</v>
      </c>
      <c r="Q101">
        <v>13</v>
      </c>
      <c r="R101">
        <v>8</v>
      </c>
      <c r="S101">
        <v>5</v>
      </c>
      <c r="T101">
        <v>18</v>
      </c>
      <c r="U101">
        <v>18</v>
      </c>
      <c r="V101">
        <v>13</v>
      </c>
      <c r="W101">
        <v>3</v>
      </c>
      <c r="X101">
        <v>12</v>
      </c>
      <c r="Y101">
        <v>18</v>
      </c>
      <c r="Z101">
        <v>6</v>
      </c>
      <c r="AA101">
        <v>13</v>
      </c>
    </row>
    <row r="102" spans="7:28" x14ac:dyDescent="0.25">
      <c r="G102" s="18">
        <v>19</v>
      </c>
      <c r="H102">
        <v>6</v>
      </c>
      <c r="I102">
        <v>6</v>
      </c>
      <c r="J102">
        <v>16</v>
      </c>
      <c r="K102">
        <v>20</v>
      </c>
      <c r="L102">
        <v>12</v>
      </c>
      <c r="M102">
        <v>19</v>
      </c>
      <c r="N102">
        <v>6</v>
      </c>
      <c r="O102">
        <v>6</v>
      </c>
      <c r="P102">
        <v>15</v>
      </c>
      <c r="Q102">
        <v>15</v>
      </c>
      <c r="R102">
        <v>8</v>
      </c>
      <c r="S102">
        <v>2</v>
      </c>
      <c r="T102">
        <v>15</v>
      </c>
      <c r="U102">
        <v>2</v>
      </c>
      <c r="V102">
        <v>19</v>
      </c>
      <c r="W102">
        <v>15</v>
      </c>
      <c r="X102">
        <v>12</v>
      </c>
      <c r="Y102">
        <v>2</v>
      </c>
      <c r="Z102">
        <v>19</v>
      </c>
      <c r="AA102">
        <v>9</v>
      </c>
    </row>
    <row r="103" spans="7:28" ht="15.75" thickBot="1" x14ac:dyDescent="0.3">
      <c r="G103" s="19">
        <v>20</v>
      </c>
      <c r="H103">
        <v>3</v>
      </c>
      <c r="I103">
        <v>6</v>
      </c>
      <c r="J103">
        <v>4</v>
      </c>
      <c r="K103">
        <v>20</v>
      </c>
      <c r="L103">
        <v>13</v>
      </c>
      <c r="M103">
        <v>19</v>
      </c>
      <c r="N103">
        <v>20</v>
      </c>
      <c r="O103">
        <v>16</v>
      </c>
      <c r="P103">
        <v>20</v>
      </c>
      <c r="Q103">
        <v>15</v>
      </c>
      <c r="R103">
        <v>8</v>
      </c>
      <c r="S103">
        <v>2</v>
      </c>
      <c r="T103">
        <v>20</v>
      </c>
      <c r="U103">
        <v>3</v>
      </c>
      <c r="V103">
        <v>9</v>
      </c>
      <c r="W103">
        <v>15</v>
      </c>
      <c r="X103">
        <v>9</v>
      </c>
      <c r="Y103">
        <v>13</v>
      </c>
      <c r="Z103">
        <v>15</v>
      </c>
      <c r="AA103">
        <v>20</v>
      </c>
      <c r="AB103">
        <v>4220</v>
      </c>
    </row>
    <row r="106" spans="7:28" ht="15.75" thickBot="1" x14ac:dyDescent="0.3">
      <c r="H106" t="s">
        <v>29</v>
      </c>
    </row>
    <row r="107" spans="7:28" ht="15.75" thickBot="1" x14ac:dyDescent="0.3">
      <c r="H107" s="16">
        <v>1</v>
      </c>
      <c r="I107" s="20">
        <v>2</v>
      </c>
      <c r="J107" s="21">
        <v>3</v>
      </c>
      <c r="K107" s="21">
        <v>4</v>
      </c>
      <c r="L107" s="21">
        <v>5</v>
      </c>
      <c r="M107" s="21">
        <v>6</v>
      </c>
      <c r="N107" s="21">
        <v>7</v>
      </c>
      <c r="O107" s="21">
        <v>8</v>
      </c>
      <c r="P107" s="21">
        <v>9</v>
      </c>
      <c r="Q107" s="21">
        <v>10</v>
      </c>
      <c r="R107" s="21">
        <v>11</v>
      </c>
      <c r="S107" s="21">
        <v>12</v>
      </c>
      <c r="T107" s="21">
        <v>13</v>
      </c>
      <c r="U107" s="21">
        <v>14</v>
      </c>
      <c r="V107" s="21">
        <v>15</v>
      </c>
      <c r="W107" s="21">
        <v>16</v>
      </c>
      <c r="X107" s="21">
        <v>17</v>
      </c>
      <c r="Y107" s="21">
        <v>18</v>
      </c>
      <c r="Z107" s="21">
        <v>19</v>
      </c>
      <c r="AA107" s="22">
        <v>20</v>
      </c>
    </row>
    <row r="108" spans="7:28" x14ac:dyDescent="0.25">
      <c r="G108" s="23">
        <v>1</v>
      </c>
      <c r="H108" s="49">
        <v>32.82</v>
      </c>
      <c r="I108" s="49">
        <v>0</v>
      </c>
      <c r="J108" s="49">
        <v>409.49</v>
      </c>
      <c r="K108" s="49">
        <v>0</v>
      </c>
      <c r="L108" s="49">
        <v>0</v>
      </c>
      <c r="M108" s="49">
        <v>93.22</v>
      </c>
      <c r="N108" s="49">
        <v>0</v>
      </c>
      <c r="O108" s="49">
        <v>0</v>
      </c>
      <c r="P108" s="49">
        <v>0</v>
      </c>
      <c r="Q108" s="49">
        <v>0</v>
      </c>
      <c r="R108" s="49">
        <v>0</v>
      </c>
      <c r="S108" s="49">
        <v>104.29</v>
      </c>
      <c r="T108" s="49">
        <v>16.48</v>
      </c>
      <c r="U108" s="49">
        <v>0</v>
      </c>
      <c r="V108" s="49">
        <v>0</v>
      </c>
      <c r="W108" s="49">
        <v>0</v>
      </c>
      <c r="X108" s="49">
        <v>0</v>
      </c>
      <c r="Y108" s="49">
        <v>0</v>
      </c>
      <c r="Z108" s="49">
        <v>0</v>
      </c>
      <c r="AA108" s="49">
        <v>0</v>
      </c>
    </row>
    <row r="109" spans="7:28" x14ac:dyDescent="0.25">
      <c r="G109" s="17">
        <v>2</v>
      </c>
      <c r="H109" s="49">
        <v>0</v>
      </c>
      <c r="I109" s="49">
        <v>13.09</v>
      </c>
      <c r="J109" s="49">
        <v>0</v>
      </c>
      <c r="K109" s="49">
        <v>0</v>
      </c>
      <c r="L109" s="49">
        <v>0</v>
      </c>
      <c r="M109" s="49">
        <v>835.88</v>
      </c>
      <c r="N109" s="49">
        <v>0</v>
      </c>
      <c r="O109" s="49">
        <v>0</v>
      </c>
      <c r="P109" s="49">
        <v>0</v>
      </c>
      <c r="Q109" s="49">
        <v>0</v>
      </c>
      <c r="R109" s="49">
        <v>0</v>
      </c>
      <c r="S109" s="49">
        <v>643.98</v>
      </c>
      <c r="T109" s="49">
        <v>0</v>
      </c>
      <c r="U109" s="49">
        <v>210.72</v>
      </c>
      <c r="V109" s="49">
        <v>0</v>
      </c>
      <c r="W109" s="49">
        <v>0</v>
      </c>
      <c r="X109" s="49">
        <v>0</v>
      </c>
      <c r="Y109" s="49">
        <v>99.59</v>
      </c>
      <c r="Z109" s="49">
        <v>0</v>
      </c>
      <c r="AA109" s="49">
        <v>0</v>
      </c>
    </row>
    <row r="110" spans="7:28" x14ac:dyDescent="0.25">
      <c r="G110" s="18">
        <v>3</v>
      </c>
      <c r="H110" s="49">
        <v>409.49</v>
      </c>
      <c r="I110" s="49">
        <v>0</v>
      </c>
      <c r="J110" s="49">
        <v>12.9</v>
      </c>
      <c r="K110" s="49">
        <v>472.26</v>
      </c>
      <c r="L110" s="49">
        <v>0</v>
      </c>
      <c r="M110" s="49">
        <v>0</v>
      </c>
      <c r="N110" s="49">
        <v>0</v>
      </c>
      <c r="O110" s="49">
        <v>0</v>
      </c>
      <c r="P110" s="49">
        <v>0</v>
      </c>
      <c r="Q110" s="49">
        <v>0</v>
      </c>
      <c r="R110" s="49">
        <v>0</v>
      </c>
      <c r="S110" s="49">
        <v>107.58</v>
      </c>
      <c r="T110" s="49">
        <v>0</v>
      </c>
      <c r="U110" s="49">
        <v>463.47</v>
      </c>
      <c r="V110" s="49">
        <v>0</v>
      </c>
      <c r="W110" s="49">
        <v>867.75</v>
      </c>
      <c r="X110" s="49">
        <v>0</v>
      </c>
      <c r="Y110" s="49">
        <v>90.28</v>
      </c>
      <c r="Z110" s="49">
        <v>0</v>
      </c>
      <c r="AA110" s="49">
        <v>0</v>
      </c>
    </row>
    <row r="111" spans="7:28" x14ac:dyDescent="0.25">
      <c r="G111" s="18">
        <v>4</v>
      </c>
      <c r="H111" s="49">
        <v>0</v>
      </c>
      <c r="I111" s="49">
        <v>0</v>
      </c>
      <c r="J111" s="49">
        <v>472.26</v>
      </c>
      <c r="K111" s="49">
        <v>42.9</v>
      </c>
      <c r="L111" s="49">
        <v>0</v>
      </c>
      <c r="M111" s="49">
        <v>0</v>
      </c>
      <c r="N111" s="49">
        <v>0</v>
      </c>
      <c r="O111" s="49">
        <v>0</v>
      </c>
      <c r="P111" s="49">
        <v>0</v>
      </c>
      <c r="Q111" s="49">
        <v>62.07</v>
      </c>
      <c r="R111" s="49">
        <v>0</v>
      </c>
      <c r="S111" s="49">
        <v>0</v>
      </c>
      <c r="T111" s="49">
        <v>0</v>
      </c>
      <c r="U111" s="49">
        <v>0</v>
      </c>
      <c r="V111" s="49">
        <v>0</v>
      </c>
      <c r="W111" s="49">
        <v>0</v>
      </c>
      <c r="X111" s="49">
        <v>0</v>
      </c>
      <c r="Y111" s="49">
        <v>0</v>
      </c>
      <c r="Z111" s="49">
        <v>0</v>
      </c>
      <c r="AA111" s="49">
        <v>473.75</v>
      </c>
    </row>
    <row r="112" spans="7:28" x14ac:dyDescent="0.25">
      <c r="G112" s="18">
        <v>5</v>
      </c>
      <c r="H112" s="49">
        <v>0</v>
      </c>
      <c r="I112" s="49">
        <v>0</v>
      </c>
      <c r="J112" s="49">
        <v>0</v>
      </c>
      <c r="K112" s="49">
        <v>0</v>
      </c>
      <c r="L112" s="49">
        <v>38.74</v>
      </c>
      <c r="M112" s="49">
        <v>0</v>
      </c>
      <c r="N112" s="49">
        <v>18.02</v>
      </c>
      <c r="O112" s="49">
        <v>93.79</v>
      </c>
      <c r="P112" s="49">
        <v>0</v>
      </c>
      <c r="Q112" s="49">
        <v>61.01</v>
      </c>
      <c r="R112" s="49">
        <v>0</v>
      </c>
      <c r="S112" s="49">
        <v>253.37</v>
      </c>
      <c r="T112" s="49">
        <v>207.66</v>
      </c>
      <c r="U112" s="49">
        <v>51.13</v>
      </c>
      <c r="V112" s="49">
        <v>0</v>
      </c>
      <c r="W112" s="49">
        <v>0</v>
      </c>
      <c r="X112" s="49">
        <v>0</v>
      </c>
      <c r="Y112" s="49">
        <v>73.040000000000006</v>
      </c>
      <c r="Z112" s="49">
        <v>0</v>
      </c>
      <c r="AA112" s="49">
        <v>0</v>
      </c>
    </row>
    <row r="113" spans="7:27" x14ac:dyDescent="0.25">
      <c r="G113" s="18">
        <v>6</v>
      </c>
      <c r="H113" s="49">
        <v>93.22</v>
      </c>
      <c r="I113" s="49">
        <v>835.88</v>
      </c>
      <c r="J113" s="49">
        <v>0</v>
      </c>
      <c r="K113" s="49">
        <v>0</v>
      </c>
      <c r="L113" s="49">
        <v>0</v>
      </c>
      <c r="M113" s="49">
        <v>73.2</v>
      </c>
      <c r="N113" s="49">
        <v>74.260000000000005</v>
      </c>
      <c r="O113" s="49">
        <v>245.19</v>
      </c>
      <c r="P113" s="49">
        <v>0</v>
      </c>
      <c r="Q113" s="49">
        <v>0</v>
      </c>
      <c r="R113" s="49">
        <v>0</v>
      </c>
      <c r="S113" s="49">
        <v>0</v>
      </c>
      <c r="T113" s="49">
        <v>0</v>
      </c>
      <c r="U113" s="49">
        <v>0</v>
      </c>
      <c r="V113" s="49">
        <v>0</v>
      </c>
      <c r="W113" s="49">
        <v>0</v>
      </c>
      <c r="X113" s="49">
        <v>0</v>
      </c>
      <c r="Y113" s="49">
        <v>0</v>
      </c>
      <c r="Z113" s="49">
        <v>1158</v>
      </c>
      <c r="AA113" s="49">
        <v>0</v>
      </c>
    </row>
    <row r="114" spans="7:27" x14ac:dyDescent="0.25">
      <c r="G114" s="18">
        <v>7</v>
      </c>
      <c r="H114" s="49">
        <v>0</v>
      </c>
      <c r="I114" s="49">
        <v>0</v>
      </c>
      <c r="J114" s="49">
        <v>0</v>
      </c>
      <c r="K114" s="49">
        <v>0</v>
      </c>
      <c r="L114" s="49">
        <v>18.02</v>
      </c>
      <c r="M114" s="49">
        <v>74.260000000000005</v>
      </c>
      <c r="N114" s="49">
        <v>8.3800000000000008</v>
      </c>
      <c r="O114" s="49">
        <v>0</v>
      </c>
      <c r="P114" s="49">
        <v>0</v>
      </c>
      <c r="Q114" s="49">
        <v>0</v>
      </c>
      <c r="R114" s="49">
        <v>98.86</v>
      </c>
      <c r="S114" s="49">
        <v>0</v>
      </c>
      <c r="T114" s="49">
        <v>0</v>
      </c>
      <c r="U114" s="49">
        <v>23.78</v>
      </c>
      <c r="V114" s="49">
        <v>0</v>
      </c>
      <c r="W114" s="49">
        <v>0</v>
      </c>
      <c r="X114" s="49">
        <v>0</v>
      </c>
      <c r="Y114" s="49">
        <v>0</v>
      </c>
      <c r="Z114" s="49">
        <v>0</v>
      </c>
      <c r="AA114" s="49">
        <v>108.31</v>
      </c>
    </row>
    <row r="115" spans="7:27" x14ac:dyDescent="0.25">
      <c r="G115" s="18">
        <v>8</v>
      </c>
      <c r="H115" s="49">
        <v>0</v>
      </c>
      <c r="I115" s="49">
        <v>0</v>
      </c>
      <c r="J115" s="49">
        <v>0</v>
      </c>
      <c r="K115" s="49">
        <v>0</v>
      </c>
      <c r="L115" s="49">
        <v>93.79</v>
      </c>
      <c r="M115" s="49">
        <v>245.19</v>
      </c>
      <c r="N115" s="49">
        <v>0</v>
      </c>
      <c r="O115" s="49">
        <v>56.65</v>
      </c>
      <c r="P115" s="49">
        <v>0</v>
      </c>
      <c r="Q115" s="49">
        <v>0</v>
      </c>
      <c r="R115" s="49">
        <v>800.36</v>
      </c>
      <c r="S115" s="49">
        <v>0</v>
      </c>
      <c r="T115" s="49">
        <v>0</v>
      </c>
      <c r="U115" s="49">
        <v>0</v>
      </c>
      <c r="V115" s="49">
        <v>0</v>
      </c>
      <c r="W115" s="49">
        <v>831.85</v>
      </c>
      <c r="X115" s="49">
        <v>188.05</v>
      </c>
      <c r="Y115" s="49">
        <v>89.94</v>
      </c>
      <c r="Z115" s="49">
        <v>0</v>
      </c>
      <c r="AA115" s="49">
        <v>0</v>
      </c>
    </row>
    <row r="116" spans="7:27" x14ac:dyDescent="0.25">
      <c r="G116" s="18">
        <v>9</v>
      </c>
      <c r="H116" s="49">
        <v>0</v>
      </c>
      <c r="I116" s="49">
        <v>0</v>
      </c>
      <c r="J116" s="49">
        <v>0</v>
      </c>
      <c r="K116" s="49">
        <v>0</v>
      </c>
      <c r="L116" s="49">
        <v>0</v>
      </c>
      <c r="M116" s="49">
        <v>0</v>
      </c>
      <c r="N116" s="49">
        <v>0</v>
      </c>
      <c r="O116" s="49">
        <v>0</v>
      </c>
      <c r="P116" s="49">
        <v>73.75</v>
      </c>
      <c r="Q116" s="49">
        <v>0</v>
      </c>
      <c r="R116" s="49">
        <v>0</v>
      </c>
      <c r="S116" s="49">
        <v>0</v>
      </c>
      <c r="T116" s="49">
        <v>0</v>
      </c>
      <c r="U116" s="49">
        <v>0</v>
      </c>
      <c r="V116" s="49">
        <v>1431.59</v>
      </c>
      <c r="W116" s="49">
        <v>0</v>
      </c>
      <c r="X116" s="49">
        <v>112.18</v>
      </c>
      <c r="Y116" s="49">
        <v>0</v>
      </c>
      <c r="Z116" s="49">
        <v>0</v>
      </c>
      <c r="AA116" s="49">
        <v>842.08</v>
      </c>
    </row>
    <row r="117" spans="7:27" x14ac:dyDescent="0.25">
      <c r="G117" s="18">
        <v>10</v>
      </c>
      <c r="H117" s="49">
        <v>0</v>
      </c>
      <c r="I117" s="49">
        <v>0</v>
      </c>
      <c r="J117" s="49">
        <v>0</v>
      </c>
      <c r="K117" s="49">
        <v>62.07</v>
      </c>
      <c r="L117" s="49">
        <v>61.01</v>
      </c>
      <c r="M117" s="49">
        <v>0</v>
      </c>
      <c r="N117" s="49">
        <v>0</v>
      </c>
      <c r="O117" s="49">
        <v>0</v>
      </c>
      <c r="P117" s="49">
        <v>0</v>
      </c>
      <c r="Q117" s="49">
        <v>10.58</v>
      </c>
      <c r="R117" s="49">
        <v>0</v>
      </c>
      <c r="S117" s="49">
        <v>0</v>
      </c>
      <c r="T117" s="49">
        <v>25.65</v>
      </c>
      <c r="U117" s="49">
        <v>0</v>
      </c>
      <c r="V117" s="49">
        <v>294.91000000000003</v>
      </c>
      <c r="W117" s="49">
        <v>0</v>
      </c>
      <c r="X117" s="49">
        <v>0</v>
      </c>
      <c r="Y117" s="49">
        <v>0</v>
      </c>
      <c r="Z117" s="49">
        <v>0</v>
      </c>
      <c r="AA117" s="49">
        <v>0</v>
      </c>
    </row>
    <row r="118" spans="7:27" x14ac:dyDescent="0.25">
      <c r="G118" s="18">
        <v>11</v>
      </c>
      <c r="H118" s="49">
        <v>0</v>
      </c>
      <c r="I118" s="49">
        <v>0</v>
      </c>
      <c r="J118" s="49">
        <v>0</v>
      </c>
      <c r="K118" s="49">
        <v>0</v>
      </c>
      <c r="L118" s="49">
        <v>0</v>
      </c>
      <c r="M118" s="49">
        <v>0</v>
      </c>
      <c r="N118" s="49">
        <v>98.86</v>
      </c>
      <c r="O118" s="49">
        <v>800.36</v>
      </c>
      <c r="P118" s="49">
        <v>0</v>
      </c>
      <c r="Q118" s="49">
        <v>0</v>
      </c>
      <c r="R118" s="49">
        <v>56.88</v>
      </c>
      <c r="S118" s="49">
        <v>0</v>
      </c>
      <c r="T118" s="49">
        <v>0</v>
      </c>
      <c r="U118" s="49">
        <v>61.95</v>
      </c>
      <c r="V118" s="49">
        <v>0</v>
      </c>
      <c r="W118" s="49">
        <v>0</v>
      </c>
      <c r="X118" s="49">
        <v>0</v>
      </c>
      <c r="Y118" s="49">
        <v>0</v>
      </c>
      <c r="Z118" s="49">
        <v>0</v>
      </c>
      <c r="AA118" s="49">
        <v>0</v>
      </c>
    </row>
    <row r="119" spans="7:27" x14ac:dyDescent="0.25">
      <c r="G119" s="18">
        <v>12</v>
      </c>
      <c r="H119" s="49">
        <v>104.29</v>
      </c>
      <c r="I119" s="49">
        <v>643.98</v>
      </c>
      <c r="J119" s="49">
        <v>107.58</v>
      </c>
      <c r="K119" s="49">
        <v>0</v>
      </c>
      <c r="L119" s="49">
        <v>253.37</v>
      </c>
      <c r="M119" s="49">
        <v>0</v>
      </c>
      <c r="N119" s="49">
        <v>0</v>
      </c>
      <c r="O119" s="49">
        <v>0</v>
      </c>
      <c r="P119" s="49">
        <v>0</v>
      </c>
      <c r="Q119" s="49">
        <v>0</v>
      </c>
      <c r="R119" s="49">
        <v>0</v>
      </c>
      <c r="S119" s="49">
        <v>33.22</v>
      </c>
      <c r="T119" s="49">
        <v>0</v>
      </c>
      <c r="U119" s="49">
        <v>0</v>
      </c>
      <c r="V119" s="49">
        <v>0</v>
      </c>
      <c r="W119" s="49">
        <v>0</v>
      </c>
      <c r="X119" s="49">
        <v>252.1</v>
      </c>
      <c r="Y119" s="49">
        <v>0</v>
      </c>
      <c r="Z119" s="49">
        <v>0</v>
      </c>
      <c r="AA119" s="49">
        <v>0</v>
      </c>
    </row>
    <row r="120" spans="7:27" x14ac:dyDescent="0.25">
      <c r="G120" s="18">
        <v>13</v>
      </c>
      <c r="H120" s="49">
        <v>16.48</v>
      </c>
      <c r="I120" s="49">
        <v>0</v>
      </c>
      <c r="J120" s="49">
        <v>0</v>
      </c>
      <c r="K120" s="49">
        <v>0</v>
      </c>
      <c r="L120" s="49">
        <v>207.66</v>
      </c>
      <c r="M120" s="49">
        <v>0</v>
      </c>
      <c r="N120" s="49">
        <v>0</v>
      </c>
      <c r="O120" s="49">
        <v>0</v>
      </c>
      <c r="P120" s="49">
        <v>0</v>
      </c>
      <c r="Q120" s="49">
        <v>25.65</v>
      </c>
      <c r="R120" s="49">
        <v>0</v>
      </c>
      <c r="S120" s="49">
        <v>0</v>
      </c>
      <c r="T120" s="49">
        <v>8.27</v>
      </c>
      <c r="U120" s="49">
        <v>0</v>
      </c>
      <c r="V120" s="49">
        <v>428.58</v>
      </c>
      <c r="W120" s="49">
        <v>0</v>
      </c>
      <c r="X120" s="49">
        <v>0</v>
      </c>
      <c r="Y120" s="49">
        <v>154.55000000000001</v>
      </c>
      <c r="Z120" s="49">
        <v>0</v>
      </c>
      <c r="AA120" s="49">
        <v>148.12</v>
      </c>
    </row>
    <row r="121" spans="7:27" x14ac:dyDescent="0.25">
      <c r="G121" s="18">
        <v>14</v>
      </c>
      <c r="H121" s="49">
        <v>0</v>
      </c>
      <c r="I121" s="49">
        <v>210.72</v>
      </c>
      <c r="J121" s="49">
        <v>463.47</v>
      </c>
      <c r="K121" s="49">
        <v>0</v>
      </c>
      <c r="L121" s="49">
        <v>51.13</v>
      </c>
      <c r="M121" s="49">
        <v>0</v>
      </c>
      <c r="N121" s="49">
        <v>23.78</v>
      </c>
      <c r="O121" s="49">
        <v>0</v>
      </c>
      <c r="P121" s="49">
        <v>0</v>
      </c>
      <c r="Q121" s="49">
        <v>0</v>
      </c>
      <c r="R121" s="49">
        <v>61.95</v>
      </c>
      <c r="S121" s="49">
        <v>0</v>
      </c>
      <c r="T121" s="49">
        <v>0</v>
      </c>
      <c r="U121" s="49">
        <v>67.47</v>
      </c>
      <c r="V121" s="49">
        <v>0</v>
      </c>
      <c r="W121" s="49">
        <v>0</v>
      </c>
      <c r="X121" s="49">
        <v>21.35</v>
      </c>
      <c r="Y121" s="49">
        <v>41.13</v>
      </c>
      <c r="Z121" s="49">
        <v>0</v>
      </c>
      <c r="AA121" s="49">
        <v>0</v>
      </c>
    </row>
    <row r="122" spans="7:27" x14ac:dyDescent="0.25">
      <c r="G122" s="18">
        <v>15</v>
      </c>
      <c r="H122" s="49">
        <v>0</v>
      </c>
      <c r="I122" s="49">
        <v>0</v>
      </c>
      <c r="J122" s="49">
        <v>0</v>
      </c>
      <c r="K122" s="49">
        <v>0</v>
      </c>
      <c r="L122" s="49">
        <v>0</v>
      </c>
      <c r="M122" s="49">
        <v>0</v>
      </c>
      <c r="N122" s="49">
        <v>0</v>
      </c>
      <c r="O122" s="49">
        <v>0</v>
      </c>
      <c r="P122" s="49">
        <v>1431.59</v>
      </c>
      <c r="Q122" s="49">
        <v>294.91000000000003</v>
      </c>
      <c r="R122" s="49">
        <v>0</v>
      </c>
      <c r="S122" s="49">
        <v>0</v>
      </c>
      <c r="T122" s="49">
        <v>428.58</v>
      </c>
      <c r="U122" s="49">
        <v>0</v>
      </c>
      <c r="V122" s="49">
        <v>57.39</v>
      </c>
      <c r="W122" s="49">
        <v>1058.32</v>
      </c>
      <c r="X122" s="49">
        <v>0</v>
      </c>
      <c r="Y122" s="49">
        <v>0</v>
      </c>
      <c r="Z122" s="49">
        <v>999.78</v>
      </c>
      <c r="AA122" s="49">
        <v>0</v>
      </c>
    </row>
    <row r="123" spans="7:27" x14ac:dyDescent="0.25">
      <c r="G123" s="18">
        <v>16</v>
      </c>
      <c r="H123" s="49">
        <v>0</v>
      </c>
      <c r="I123" s="49">
        <v>0</v>
      </c>
      <c r="J123" s="49">
        <v>867.75</v>
      </c>
      <c r="K123" s="49">
        <v>0</v>
      </c>
      <c r="L123" s="49">
        <v>0</v>
      </c>
      <c r="M123" s="49">
        <v>0</v>
      </c>
      <c r="N123" s="49">
        <v>0</v>
      </c>
      <c r="O123" s="49">
        <v>831.85</v>
      </c>
      <c r="P123" s="49">
        <v>0</v>
      </c>
      <c r="Q123" s="49">
        <v>0</v>
      </c>
      <c r="R123" s="49">
        <v>0</v>
      </c>
      <c r="S123" s="49">
        <v>0</v>
      </c>
      <c r="T123" s="49">
        <v>0</v>
      </c>
      <c r="U123" s="49">
        <v>0</v>
      </c>
      <c r="V123" s="49">
        <v>1058.32</v>
      </c>
      <c r="W123" s="49">
        <v>4.66</v>
      </c>
      <c r="X123" s="49">
        <v>0</v>
      </c>
      <c r="Y123" s="49">
        <v>0</v>
      </c>
      <c r="Z123" s="49">
        <v>0</v>
      </c>
      <c r="AA123" s="49">
        <v>0</v>
      </c>
    </row>
    <row r="124" spans="7:27" x14ac:dyDescent="0.25">
      <c r="G124" s="18">
        <v>17</v>
      </c>
      <c r="H124" s="49">
        <v>0</v>
      </c>
      <c r="I124" s="49">
        <v>0</v>
      </c>
      <c r="J124" s="49">
        <v>0</v>
      </c>
      <c r="K124" s="49">
        <v>0</v>
      </c>
      <c r="L124" s="49">
        <v>0</v>
      </c>
      <c r="M124" s="49">
        <v>0</v>
      </c>
      <c r="N124" s="49">
        <v>0</v>
      </c>
      <c r="O124" s="49">
        <v>188.05</v>
      </c>
      <c r="P124" s="49">
        <v>112.18</v>
      </c>
      <c r="Q124" s="49">
        <v>0</v>
      </c>
      <c r="R124" s="49">
        <v>0</v>
      </c>
      <c r="S124" s="49">
        <v>252.1</v>
      </c>
      <c r="T124" s="49">
        <v>0</v>
      </c>
      <c r="U124" s="49">
        <v>21.35</v>
      </c>
      <c r="V124" s="49">
        <v>0</v>
      </c>
      <c r="W124" s="49">
        <v>0</v>
      </c>
      <c r="X124" s="49">
        <v>6.75</v>
      </c>
      <c r="Y124" s="49">
        <v>0</v>
      </c>
      <c r="Z124" s="49">
        <v>0</v>
      </c>
      <c r="AA124" s="49">
        <v>0</v>
      </c>
    </row>
    <row r="125" spans="7:27" x14ac:dyDescent="0.25">
      <c r="G125" s="18">
        <v>18</v>
      </c>
      <c r="H125" s="49">
        <v>0</v>
      </c>
      <c r="I125" s="49">
        <v>99.59</v>
      </c>
      <c r="J125" s="49">
        <v>90.28</v>
      </c>
      <c r="K125" s="49">
        <v>0</v>
      </c>
      <c r="L125" s="49">
        <v>73.040000000000006</v>
      </c>
      <c r="M125" s="49">
        <v>0</v>
      </c>
      <c r="N125" s="49">
        <v>0</v>
      </c>
      <c r="O125" s="49">
        <v>89.94</v>
      </c>
      <c r="P125" s="49">
        <v>0</v>
      </c>
      <c r="Q125" s="49">
        <v>0</v>
      </c>
      <c r="R125" s="49">
        <v>0</v>
      </c>
      <c r="S125" s="49">
        <v>0</v>
      </c>
      <c r="T125" s="49">
        <v>154.55000000000001</v>
      </c>
      <c r="U125" s="49">
        <v>41.13</v>
      </c>
      <c r="V125" s="49">
        <v>0</v>
      </c>
      <c r="W125" s="49">
        <v>0</v>
      </c>
      <c r="X125" s="49">
        <v>0</v>
      </c>
      <c r="Y125" s="49">
        <v>25.07</v>
      </c>
      <c r="Z125" s="49">
        <v>0</v>
      </c>
      <c r="AA125" s="49">
        <v>0</v>
      </c>
    </row>
    <row r="126" spans="7:27" x14ac:dyDescent="0.25">
      <c r="G126" s="18">
        <v>19</v>
      </c>
      <c r="H126" s="49">
        <v>0</v>
      </c>
      <c r="I126" s="49">
        <v>0</v>
      </c>
      <c r="J126" s="49">
        <v>0</v>
      </c>
      <c r="K126" s="49">
        <v>0</v>
      </c>
      <c r="L126" s="49">
        <v>0</v>
      </c>
      <c r="M126" s="49">
        <v>1158</v>
      </c>
      <c r="N126" s="49">
        <v>0</v>
      </c>
      <c r="O126" s="49">
        <v>0</v>
      </c>
      <c r="P126" s="49">
        <v>0</v>
      </c>
      <c r="Q126" s="49">
        <v>0</v>
      </c>
      <c r="R126" s="49">
        <v>0</v>
      </c>
      <c r="S126" s="49">
        <v>0</v>
      </c>
      <c r="T126" s="49">
        <v>0</v>
      </c>
      <c r="U126" s="49">
        <v>0</v>
      </c>
      <c r="V126" s="49">
        <v>999.78</v>
      </c>
      <c r="W126" s="49">
        <v>0</v>
      </c>
      <c r="X126" s="49">
        <v>0</v>
      </c>
      <c r="Y126" s="49">
        <v>0</v>
      </c>
      <c r="Z126" s="49">
        <v>59.53</v>
      </c>
      <c r="AA126" s="49">
        <v>0</v>
      </c>
    </row>
    <row r="127" spans="7:27" ht="15.75" thickBot="1" x14ac:dyDescent="0.3">
      <c r="G127" s="19">
        <v>20</v>
      </c>
      <c r="H127" s="49">
        <v>0</v>
      </c>
      <c r="I127" s="49">
        <v>0</v>
      </c>
      <c r="J127" s="49">
        <v>0</v>
      </c>
      <c r="K127" s="49">
        <v>473.75</v>
      </c>
      <c r="L127" s="49">
        <v>0</v>
      </c>
      <c r="M127" s="49">
        <v>0</v>
      </c>
      <c r="N127" s="49">
        <v>108.31</v>
      </c>
      <c r="O127" s="49">
        <v>0</v>
      </c>
      <c r="P127" s="49">
        <v>842.08</v>
      </c>
      <c r="Q127" s="49">
        <v>0</v>
      </c>
      <c r="R127" s="49">
        <v>0</v>
      </c>
      <c r="S127" s="49">
        <v>0</v>
      </c>
      <c r="T127" s="49">
        <v>148.12</v>
      </c>
      <c r="U127" s="49">
        <v>0</v>
      </c>
      <c r="V127" s="49">
        <v>0</v>
      </c>
      <c r="W127" s="49">
        <v>0</v>
      </c>
      <c r="X127" s="49">
        <v>0</v>
      </c>
      <c r="Y127" s="49">
        <v>0</v>
      </c>
      <c r="Z127" s="49">
        <v>0</v>
      </c>
      <c r="AA127" s="49">
        <v>73.510000000000005</v>
      </c>
    </row>
    <row r="132" spans="7:27" ht="15.75" thickBot="1" x14ac:dyDescent="0.3">
      <c r="H132" t="s">
        <v>14</v>
      </c>
    </row>
    <row r="133" spans="7:27" ht="15.75" thickBot="1" x14ac:dyDescent="0.3">
      <c r="H133" s="16">
        <v>1</v>
      </c>
      <c r="I133" s="20">
        <v>2</v>
      </c>
      <c r="J133" s="21">
        <v>3</v>
      </c>
      <c r="K133" s="21">
        <v>4</v>
      </c>
      <c r="L133" s="21">
        <v>5</v>
      </c>
      <c r="M133" s="21">
        <v>6</v>
      </c>
      <c r="N133" s="21">
        <v>7</v>
      </c>
      <c r="O133" s="21">
        <v>8</v>
      </c>
      <c r="P133" s="21">
        <v>9</v>
      </c>
      <c r="Q133" s="21">
        <v>10</v>
      </c>
      <c r="R133" s="21">
        <v>11</v>
      </c>
      <c r="S133" s="21">
        <v>12</v>
      </c>
      <c r="T133" s="21">
        <v>13</v>
      </c>
      <c r="U133" s="21">
        <v>14</v>
      </c>
      <c r="V133" s="21">
        <v>15</v>
      </c>
      <c r="W133" s="21">
        <v>16</v>
      </c>
      <c r="X133" s="21">
        <v>17</v>
      </c>
      <c r="Y133" s="21">
        <v>18</v>
      </c>
      <c r="Z133" s="21">
        <v>19</v>
      </c>
      <c r="AA133" s="22">
        <v>20</v>
      </c>
    </row>
    <row r="134" spans="7:27" x14ac:dyDescent="0.25">
      <c r="G134" s="23">
        <v>1</v>
      </c>
      <c r="H134">
        <v>3611200</v>
      </c>
      <c r="I134">
        <v>0</v>
      </c>
      <c r="J134">
        <v>36310400</v>
      </c>
      <c r="K134">
        <v>0</v>
      </c>
      <c r="L134">
        <v>0</v>
      </c>
      <c r="M134">
        <v>9089600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10031200</v>
      </c>
      <c r="T134">
        <v>2070400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</row>
    <row r="135" spans="7:27" x14ac:dyDescent="0.25">
      <c r="G135" s="17">
        <v>2</v>
      </c>
      <c r="H135">
        <v>0</v>
      </c>
      <c r="I135">
        <v>1728000</v>
      </c>
      <c r="J135">
        <v>0</v>
      </c>
      <c r="K135">
        <v>0</v>
      </c>
      <c r="L135">
        <v>0</v>
      </c>
      <c r="M135">
        <v>72433600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56255200</v>
      </c>
      <c r="T135">
        <v>0</v>
      </c>
      <c r="U135">
        <v>19276000</v>
      </c>
      <c r="V135">
        <v>0</v>
      </c>
      <c r="W135">
        <v>0</v>
      </c>
      <c r="X135">
        <v>0</v>
      </c>
      <c r="Y135">
        <v>9603200</v>
      </c>
      <c r="Z135">
        <v>0</v>
      </c>
      <c r="AA135">
        <v>0</v>
      </c>
    </row>
    <row r="136" spans="7:27" x14ac:dyDescent="0.25">
      <c r="G136" s="18">
        <v>3</v>
      </c>
      <c r="H136">
        <v>36310400</v>
      </c>
      <c r="I136">
        <v>0</v>
      </c>
      <c r="J136">
        <v>1728000</v>
      </c>
      <c r="K136">
        <v>41617600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10373600</v>
      </c>
      <c r="T136">
        <v>0</v>
      </c>
      <c r="U136">
        <v>40932800</v>
      </c>
      <c r="V136">
        <v>0</v>
      </c>
      <c r="W136">
        <v>75172800</v>
      </c>
      <c r="X136">
        <v>0</v>
      </c>
      <c r="Y136">
        <v>8832800</v>
      </c>
      <c r="Z136">
        <v>0</v>
      </c>
      <c r="AA136">
        <v>0</v>
      </c>
    </row>
    <row r="137" spans="7:27" x14ac:dyDescent="0.25">
      <c r="G137" s="18">
        <v>4</v>
      </c>
      <c r="H137">
        <v>0</v>
      </c>
      <c r="I137">
        <v>0</v>
      </c>
      <c r="J137">
        <v>41617600</v>
      </c>
      <c r="K137">
        <v>4552800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6350400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41788800</v>
      </c>
    </row>
    <row r="138" spans="7:27" x14ac:dyDescent="0.25">
      <c r="G138" s="18">
        <v>5</v>
      </c>
      <c r="H138">
        <v>0</v>
      </c>
      <c r="I138">
        <v>0</v>
      </c>
      <c r="J138">
        <v>0</v>
      </c>
      <c r="K138">
        <v>0</v>
      </c>
      <c r="L138">
        <v>4210400</v>
      </c>
      <c r="M138">
        <v>0</v>
      </c>
      <c r="N138">
        <v>2241600</v>
      </c>
      <c r="O138">
        <v>9089600</v>
      </c>
      <c r="P138">
        <v>0</v>
      </c>
      <c r="Q138">
        <v>6179200</v>
      </c>
      <c r="R138">
        <v>0</v>
      </c>
      <c r="S138">
        <v>22956800</v>
      </c>
      <c r="T138">
        <v>19019200</v>
      </c>
      <c r="U138">
        <v>5323200</v>
      </c>
      <c r="V138">
        <v>0</v>
      </c>
      <c r="W138">
        <v>0</v>
      </c>
      <c r="X138">
        <v>0</v>
      </c>
      <c r="Y138">
        <v>7292000</v>
      </c>
      <c r="Z138">
        <v>0</v>
      </c>
      <c r="AA138">
        <v>0</v>
      </c>
    </row>
    <row r="139" spans="7:27" x14ac:dyDescent="0.25">
      <c r="G139" s="18">
        <v>6</v>
      </c>
      <c r="H139">
        <v>9089600</v>
      </c>
      <c r="I139">
        <v>72433600</v>
      </c>
      <c r="J139">
        <v>0</v>
      </c>
      <c r="K139">
        <v>0</v>
      </c>
      <c r="L139">
        <v>0</v>
      </c>
      <c r="M139">
        <v>7292000</v>
      </c>
      <c r="N139">
        <v>7377600</v>
      </c>
      <c r="O139">
        <v>22272000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99654400</v>
      </c>
      <c r="AA139">
        <v>0</v>
      </c>
    </row>
    <row r="140" spans="7:27" x14ac:dyDescent="0.25">
      <c r="G140" s="18">
        <v>7</v>
      </c>
      <c r="H140">
        <v>0</v>
      </c>
      <c r="I140">
        <v>0</v>
      </c>
      <c r="J140">
        <v>0</v>
      </c>
      <c r="K140">
        <v>0</v>
      </c>
      <c r="L140">
        <v>2241600</v>
      </c>
      <c r="M140">
        <v>7377600</v>
      </c>
      <c r="N140">
        <v>1300000</v>
      </c>
      <c r="O140">
        <v>0</v>
      </c>
      <c r="P140">
        <v>0</v>
      </c>
      <c r="Q140">
        <v>0</v>
      </c>
      <c r="R140">
        <v>9603200</v>
      </c>
      <c r="S140">
        <v>0</v>
      </c>
      <c r="T140">
        <v>0</v>
      </c>
      <c r="U140">
        <v>2840800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10373600</v>
      </c>
    </row>
    <row r="141" spans="7:27" x14ac:dyDescent="0.25">
      <c r="G141" s="18">
        <v>8</v>
      </c>
      <c r="H141">
        <v>0</v>
      </c>
      <c r="I141">
        <v>0</v>
      </c>
      <c r="J141">
        <v>0</v>
      </c>
      <c r="K141">
        <v>0</v>
      </c>
      <c r="L141">
        <v>9089600</v>
      </c>
      <c r="M141">
        <v>22272000</v>
      </c>
      <c r="N141">
        <v>0</v>
      </c>
      <c r="O141">
        <v>5836800</v>
      </c>
      <c r="P141">
        <v>0</v>
      </c>
      <c r="Q141">
        <v>0</v>
      </c>
      <c r="R141">
        <v>69437600</v>
      </c>
      <c r="S141">
        <v>0</v>
      </c>
      <c r="T141">
        <v>0</v>
      </c>
      <c r="U141">
        <v>0</v>
      </c>
      <c r="V141">
        <v>0</v>
      </c>
      <c r="W141">
        <v>72176800</v>
      </c>
      <c r="X141">
        <v>17307200</v>
      </c>
      <c r="Y141">
        <v>8832800</v>
      </c>
      <c r="Z141">
        <v>0</v>
      </c>
      <c r="AA141">
        <v>0</v>
      </c>
    </row>
    <row r="142" spans="7:27" x14ac:dyDescent="0.25">
      <c r="G142" s="18">
        <v>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7377600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122766400</v>
      </c>
      <c r="W142">
        <v>0</v>
      </c>
      <c r="X142">
        <v>10716000</v>
      </c>
      <c r="Y142">
        <v>0</v>
      </c>
      <c r="Z142">
        <v>0</v>
      </c>
      <c r="AA142">
        <v>73032800</v>
      </c>
    </row>
    <row r="143" spans="7:27" x14ac:dyDescent="0.25">
      <c r="G143" s="18">
        <v>10</v>
      </c>
      <c r="H143">
        <v>0</v>
      </c>
      <c r="I143">
        <v>0</v>
      </c>
      <c r="J143">
        <v>0</v>
      </c>
      <c r="K143">
        <v>6350400</v>
      </c>
      <c r="L143">
        <v>6179200</v>
      </c>
      <c r="M143">
        <v>0</v>
      </c>
      <c r="N143">
        <v>0</v>
      </c>
      <c r="O143">
        <v>0</v>
      </c>
      <c r="P143">
        <v>0</v>
      </c>
      <c r="Q143">
        <v>1471200</v>
      </c>
      <c r="R143">
        <v>0</v>
      </c>
      <c r="S143">
        <v>0</v>
      </c>
      <c r="T143">
        <v>3012000</v>
      </c>
      <c r="U143">
        <v>0</v>
      </c>
      <c r="V143">
        <v>26552000</v>
      </c>
      <c r="W143">
        <v>0</v>
      </c>
      <c r="X143">
        <v>0</v>
      </c>
      <c r="Y143">
        <v>0</v>
      </c>
      <c r="Z143">
        <v>0</v>
      </c>
      <c r="AA143">
        <v>0</v>
      </c>
    </row>
    <row r="144" spans="7:27" x14ac:dyDescent="0.25">
      <c r="G144" s="18">
        <v>11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9603200</v>
      </c>
      <c r="O144">
        <v>69437600</v>
      </c>
      <c r="P144">
        <v>0</v>
      </c>
      <c r="Q144">
        <v>0</v>
      </c>
      <c r="R144">
        <v>5836800</v>
      </c>
      <c r="S144">
        <v>0</v>
      </c>
      <c r="T144">
        <v>0</v>
      </c>
      <c r="U144">
        <v>6264800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</row>
    <row r="145" spans="7:27" x14ac:dyDescent="0.25">
      <c r="G145" s="18">
        <v>12</v>
      </c>
      <c r="H145">
        <v>10031200</v>
      </c>
      <c r="I145">
        <v>56255200</v>
      </c>
      <c r="J145">
        <v>10373600</v>
      </c>
      <c r="K145">
        <v>0</v>
      </c>
      <c r="L145">
        <v>22956800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3696800</v>
      </c>
      <c r="T145">
        <v>0</v>
      </c>
      <c r="U145">
        <v>0</v>
      </c>
      <c r="V145">
        <v>0</v>
      </c>
      <c r="W145">
        <v>0</v>
      </c>
      <c r="X145">
        <v>22871200</v>
      </c>
      <c r="Y145">
        <v>0</v>
      </c>
      <c r="Z145">
        <v>0</v>
      </c>
      <c r="AA145">
        <v>0</v>
      </c>
    </row>
    <row r="146" spans="7:27" x14ac:dyDescent="0.25">
      <c r="G146" s="18">
        <v>13</v>
      </c>
      <c r="H146">
        <v>2070400</v>
      </c>
      <c r="I146">
        <v>0</v>
      </c>
      <c r="J146">
        <v>0</v>
      </c>
      <c r="K146">
        <v>0</v>
      </c>
      <c r="L146">
        <v>19019200</v>
      </c>
      <c r="M146">
        <v>0</v>
      </c>
      <c r="N146">
        <v>0</v>
      </c>
      <c r="O146">
        <v>0</v>
      </c>
      <c r="P146">
        <v>0</v>
      </c>
      <c r="Q146">
        <v>3012000</v>
      </c>
      <c r="R146">
        <v>0</v>
      </c>
      <c r="S146">
        <v>0</v>
      </c>
      <c r="T146">
        <v>1300000</v>
      </c>
      <c r="U146">
        <v>0</v>
      </c>
      <c r="V146">
        <v>37936800</v>
      </c>
      <c r="W146">
        <v>0</v>
      </c>
      <c r="X146">
        <v>0</v>
      </c>
      <c r="Y146">
        <v>14482400</v>
      </c>
      <c r="Z146">
        <v>0</v>
      </c>
      <c r="AA146">
        <v>13883200</v>
      </c>
    </row>
    <row r="147" spans="7:27" x14ac:dyDescent="0.25">
      <c r="G147" s="18">
        <v>14</v>
      </c>
      <c r="H147">
        <v>0</v>
      </c>
      <c r="I147">
        <v>19276000</v>
      </c>
      <c r="J147">
        <v>40932800</v>
      </c>
      <c r="K147">
        <v>0</v>
      </c>
      <c r="L147">
        <v>5323200</v>
      </c>
      <c r="M147">
        <v>0</v>
      </c>
      <c r="N147">
        <v>2840800</v>
      </c>
      <c r="O147">
        <v>0</v>
      </c>
      <c r="P147">
        <v>0</v>
      </c>
      <c r="Q147">
        <v>0</v>
      </c>
      <c r="R147">
        <v>6264800</v>
      </c>
      <c r="S147">
        <v>0</v>
      </c>
      <c r="T147">
        <v>0</v>
      </c>
      <c r="U147">
        <v>6778400</v>
      </c>
      <c r="V147">
        <v>0</v>
      </c>
      <c r="W147">
        <v>0</v>
      </c>
      <c r="X147">
        <v>2584000</v>
      </c>
      <c r="Y147">
        <v>4381600</v>
      </c>
      <c r="Z147">
        <v>0</v>
      </c>
      <c r="AA147">
        <v>0</v>
      </c>
    </row>
    <row r="148" spans="7:27" x14ac:dyDescent="0.25">
      <c r="G148" s="18">
        <v>15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122766400</v>
      </c>
      <c r="Q148">
        <v>26552000</v>
      </c>
      <c r="R148">
        <v>0</v>
      </c>
      <c r="S148">
        <v>0</v>
      </c>
      <c r="T148">
        <v>37936800</v>
      </c>
      <c r="U148">
        <v>0</v>
      </c>
      <c r="V148">
        <v>5922400</v>
      </c>
      <c r="W148">
        <v>91265600</v>
      </c>
      <c r="X148">
        <v>0</v>
      </c>
      <c r="Y148">
        <v>0</v>
      </c>
      <c r="Z148">
        <v>86300800</v>
      </c>
      <c r="AA148">
        <v>0</v>
      </c>
    </row>
    <row r="149" spans="7:27" x14ac:dyDescent="0.25">
      <c r="G149" s="18">
        <v>16</v>
      </c>
      <c r="H149">
        <v>0</v>
      </c>
      <c r="I149">
        <v>0</v>
      </c>
      <c r="J149">
        <v>75172800</v>
      </c>
      <c r="K149">
        <v>0</v>
      </c>
      <c r="L149">
        <v>0</v>
      </c>
      <c r="M149">
        <v>0</v>
      </c>
      <c r="N149">
        <v>0</v>
      </c>
      <c r="O149">
        <v>72176800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91265600</v>
      </c>
      <c r="W149">
        <v>872000</v>
      </c>
      <c r="X149">
        <v>0</v>
      </c>
      <c r="Y149">
        <v>0</v>
      </c>
      <c r="Z149">
        <v>0</v>
      </c>
      <c r="AA149">
        <v>0</v>
      </c>
    </row>
    <row r="150" spans="7:27" x14ac:dyDescent="0.25">
      <c r="G150" s="18">
        <v>17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17307200</v>
      </c>
      <c r="P150">
        <v>10716000</v>
      </c>
      <c r="Q150">
        <v>0</v>
      </c>
      <c r="R150">
        <v>0</v>
      </c>
      <c r="S150">
        <v>22871200</v>
      </c>
      <c r="T150">
        <v>0</v>
      </c>
      <c r="U150">
        <v>2584000</v>
      </c>
      <c r="V150">
        <v>0</v>
      </c>
      <c r="W150">
        <v>0</v>
      </c>
      <c r="X150">
        <v>1128800</v>
      </c>
      <c r="Y150">
        <v>0</v>
      </c>
      <c r="Z150">
        <v>0</v>
      </c>
      <c r="AA150">
        <v>0</v>
      </c>
    </row>
    <row r="151" spans="7:27" x14ac:dyDescent="0.25">
      <c r="G151" s="18">
        <v>18</v>
      </c>
      <c r="H151">
        <v>0</v>
      </c>
      <c r="I151">
        <v>9603200</v>
      </c>
      <c r="J151">
        <v>8832800</v>
      </c>
      <c r="K151">
        <v>0</v>
      </c>
      <c r="L151">
        <v>7292000</v>
      </c>
      <c r="M151">
        <v>0</v>
      </c>
      <c r="N151">
        <v>0</v>
      </c>
      <c r="O151">
        <v>8832800</v>
      </c>
      <c r="P151">
        <v>0</v>
      </c>
      <c r="Q151">
        <v>0</v>
      </c>
      <c r="R151">
        <v>0</v>
      </c>
      <c r="S151">
        <v>0</v>
      </c>
      <c r="T151">
        <v>14482400</v>
      </c>
      <c r="U151">
        <v>4381600</v>
      </c>
      <c r="V151">
        <v>0</v>
      </c>
      <c r="W151">
        <v>0</v>
      </c>
      <c r="X151">
        <v>0</v>
      </c>
      <c r="Y151">
        <v>2926400</v>
      </c>
      <c r="Z151">
        <v>0</v>
      </c>
      <c r="AA151">
        <v>0</v>
      </c>
    </row>
    <row r="152" spans="7:27" x14ac:dyDescent="0.25">
      <c r="G152" s="18">
        <v>19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99654400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86300800</v>
      </c>
      <c r="W152">
        <v>0</v>
      </c>
      <c r="X152">
        <v>0</v>
      </c>
      <c r="Y152">
        <v>0</v>
      </c>
      <c r="Z152">
        <v>6093600</v>
      </c>
      <c r="AA152">
        <v>0</v>
      </c>
    </row>
    <row r="153" spans="7:27" ht="15.75" thickBot="1" x14ac:dyDescent="0.3">
      <c r="G153" s="19">
        <v>20</v>
      </c>
      <c r="H153">
        <v>0</v>
      </c>
      <c r="I153">
        <v>0</v>
      </c>
      <c r="J153">
        <v>0</v>
      </c>
      <c r="K153">
        <v>41788800</v>
      </c>
      <c r="L153">
        <v>0</v>
      </c>
      <c r="M153">
        <v>0</v>
      </c>
      <c r="N153">
        <v>10373600</v>
      </c>
      <c r="O153">
        <v>0</v>
      </c>
      <c r="P153">
        <v>73032800</v>
      </c>
      <c r="Q153">
        <v>0</v>
      </c>
      <c r="R153">
        <v>0</v>
      </c>
      <c r="S153">
        <v>0</v>
      </c>
      <c r="T153">
        <v>13883200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7377600</v>
      </c>
    </row>
    <row r="157" spans="7:27" ht="15.75" thickBot="1" x14ac:dyDescent="0.3">
      <c r="H157" t="s">
        <v>13</v>
      </c>
    </row>
    <row r="158" spans="7:27" ht="15.75" thickBot="1" x14ac:dyDescent="0.3">
      <c r="H158" s="16">
        <v>1</v>
      </c>
      <c r="I158" s="20">
        <v>2</v>
      </c>
      <c r="J158" s="21">
        <v>3</v>
      </c>
      <c r="K158" s="21">
        <v>4</v>
      </c>
      <c r="L158" s="21">
        <v>5</v>
      </c>
      <c r="M158" s="21">
        <v>6</v>
      </c>
      <c r="N158" s="21">
        <v>7</v>
      </c>
      <c r="O158" s="21">
        <v>8</v>
      </c>
      <c r="P158" s="21">
        <v>9</v>
      </c>
      <c r="Q158" s="21">
        <v>10</v>
      </c>
      <c r="R158" s="21">
        <v>11</v>
      </c>
      <c r="S158" s="21">
        <v>12</v>
      </c>
      <c r="T158" s="21">
        <v>13</v>
      </c>
      <c r="U158" s="21">
        <v>14</v>
      </c>
      <c r="V158" s="21">
        <v>15</v>
      </c>
      <c r="W158" s="21">
        <v>16</v>
      </c>
      <c r="X158" s="21">
        <v>17</v>
      </c>
      <c r="Y158" s="21">
        <v>18</v>
      </c>
      <c r="Z158" s="21">
        <v>19</v>
      </c>
      <c r="AA158" s="22">
        <v>20</v>
      </c>
    </row>
    <row r="159" spans="7:27" x14ac:dyDescent="0.25">
      <c r="G159" s="23">
        <v>1</v>
      </c>
      <c r="H159">
        <v>3595200</v>
      </c>
      <c r="I159">
        <v>0</v>
      </c>
      <c r="J159">
        <v>36294400</v>
      </c>
      <c r="K159">
        <v>0</v>
      </c>
      <c r="L159">
        <v>0</v>
      </c>
      <c r="M159">
        <v>9073600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10015200</v>
      </c>
      <c r="T159">
        <v>2054400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</row>
    <row r="160" spans="7:27" x14ac:dyDescent="0.25">
      <c r="G160" s="17">
        <v>2</v>
      </c>
      <c r="H160">
        <v>0</v>
      </c>
      <c r="I160">
        <v>1712000</v>
      </c>
      <c r="J160">
        <v>0</v>
      </c>
      <c r="K160">
        <v>0</v>
      </c>
      <c r="L160">
        <v>0</v>
      </c>
      <c r="M160">
        <v>72417600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56239200</v>
      </c>
      <c r="T160">
        <v>0</v>
      </c>
      <c r="U160">
        <v>19260000</v>
      </c>
      <c r="V160">
        <v>0</v>
      </c>
      <c r="W160">
        <v>0</v>
      </c>
      <c r="X160">
        <v>0</v>
      </c>
      <c r="Y160">
        <v>9587200</v>
      </c>
      <c r="Z160">
        <v>0</v>
      </c>
      <c r="AA160">
        <v>0</v>
      </c>
    </row>
    <row r="161" spans="7:27" x14ac:dyDescent="0.25">
      <c r="G161" s="18">
        <v>3</v>
      </c>
      <c r="H161">
        <v>36294400</v>
      </c>
      <c r="I161">
        <v>0</v>
      </c>
      <c r="J161">
        <v>1712000</v>
      </c>
      <c r="K161">
        <v>41601600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10357600</v>
      </c>
      <c r="T161">
        <v>0</v>
      </c>
      <c r="U161">
        <v>40916800</v>
      </c>
      <c r="V161">
        <v>0</v>
      </c>
      <c r="W161">
        <v>75156800</v>
      </c>
      <c r="X161">
        <v>0</v>
      </c>
      <c r="Y161">
        <v>8816800</v>
      </c>
      <c r="Z161">
        <v>0</v>
      </c>
      <c r="AA161">
        <v>0</v>
      </c>
    </row>
    <row r="162" spans="7:27" x14ac:dyDescent="0.25">
      <c r="G162" s="18">
        <v>4</v>
      </c>
      <c r="H162">
        <v>0</v>
      </c>
      <c r="I162">
        <v>0</v>
      </c>
      <c r="J162">
        <v>41601600</v>
      </c>
      <c r="K162">
        <v>4536800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6334400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41772800</v>
      </c>
    </row>
    <row r="163" spans="7:27" x14ac:dyDescent="0.25">
      <c r="G163" s="18">
        <v>5</v>
      </c>
      <c r="H163">
        <v>0</v>
      </c>
      <c r="I163">
        <v>0</v>
      </c>
      <c r="J163">
        <v>0</v>
      </c>
      <c r="K163">
        <v>0</v>
      </c>
      <c r="L163">
        <v>4194400</v>
      </c>
      <c r="M163">
        <v>0</v>
      </c>
      <c r="N163">
        <v>2225600</v>
      </c>
      <c r="O163">
        <v>9073600</v>
      </c>
      <c r="P163">
        <v>0</v>
      </c>
      <c r="Q163">
        <v>6163200</v>
      </c>
      <c r="R163">
        <v>0</v>
      </c>
      <c r="S163">
        <v>22940800</v>
      </c>
      <c r="T163">
        <v>19003200</v>
      </c>
      <c r="U163">
        <v>5307200</v>
      </c>
      <c r="V163">
        <v>0</v>
      </c>
      <c r="W163">
        <v>0</v>
      </c>
      <c r="X163">
        <v>0</v>
      </c>
      <c r="Y163">
        <v>7276000</v>
      </c>
      <c r="Z163">
        <v>0</v>
      </c>
      <c r="AA163">
        <v>0</v>
      </c>
    </row>
    <row r="164" spans="7:27" x14ac:dyDescent="0.25">
      <c r="G164" s="18">
        <v>6</v>
      </c>
      <c r="H164">
        <v>9073600</v>
      </c>
      <c r="I164">
        <v>72417600</v>
      </c>
      <c r="J164">
        <v>0</v>
      </c>
      <c r="K164">
        <v>0</v>
      </c>
      <c r="L164">
        <v>0</v>
      </c>
      <c r="M164">
        <v>7276000</v>
      </c>
      <c r="N164">
        <v>7361600</v>
      </c>
      <c r="O164">
        <v>22256000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99638400</v>
      </c>
      <c r="AA164">
        <v>0</v>
      </c>
    </row>
    <row r="165" spans="7:27" x14ac:dyDescent="0.25">
      <c r="G165" s="18">
        <v>7</v>
      </c>
      <c r="H165">
        <v>0</v>
      </c>
      <c r="I165">
        <v>0</v>
      </c>
      <c r="J165">
        <v>0</v>
      </c>
      <c r="K165">
        <v>0</v>
      </c>
      <c r="L165">
        <v>2225600</v>
      </c>
      <c r="M165">
        <v>7361600</v>
      </c>
      <c r="N165">
        <v>1284000</v>
      </c>
      <c r="O165">
        <v>0</v>
      </c>
      <c r="P165">
        <v>0</v>
      </c>
      <c r="Q165">
        <v>0</v>
      </c>
      <c r="R165">
        <v>9587200</v>
      </c>
      <c r="S165">
        <v>0</v>
      </c>
      <c r="T165">
        <v>0</v>
      </c>
      <c r="U165">
        <v>2824800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10357600</v>
      </c>
    </row>
    <row r="166" spans="7:27" x14ac:dyDescent="0.25">
      <c r="G166" s="18">
        <v>8</v>
      </c>
      <c r="H166">
        <v>0</v>
      </c>
      <c r="I166">
        <v>0</v>
      </c>
      <c r="J166">
        <v>0</v>
      </c>
      <c r="K166">
        <v>0</v>
      </c>
      <c r="L166">
        <v>9073600</v>
      </c>
      <c r="M166">
        <v>22256000</v>
      </c>
      <c r="N166">
        <v>0</v>
      </c>
      <c r="O166">
        <v>5820800</v>
      </c>
      <c r="P166">
        <v>0</v>
      </c>
      <c r="Q166">
        <v>0</v>
      </c>
      <c r="R166">
        <v>69421600</v>
      </c>
      <c r="S166">
        <v>0</v>
      </c>
      <c r="T166">
        <v>0</v>
      </c>
      <c r="U166">
        <v>0</v>
      </c>
      <c r="V166">
        <v>0</v>
      </c>
      <c r="W166">
        <v>72160800</v>
      </c>
      <c r="X166">
        <v>17291200</v>
      </c>
      <c r="Y166">
        <v>8816800</v>
      </c>
      <c r="Z166">
        <v>0</v>
      </c>
      <c r="AA166">
        <v>0</v>
      </c>
    </row>
    <row r="167" spans="7:27" x14ac:dyDescent="0.25">
      <c r="G167" s="18">
        <v>9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7361600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122750400</v>
      </c>
      <c r="W167">
        <v>0</v>
      </c>
      <c r="X167">
        <v>10700000</v>
      </c>
      <c r="Y167">
        <v>0</v>
      </c>
      <c r="Z167">
        <v>0</v>
      </c>
      <c r="AA167">
        <v>73016800</v>
      </c>
    </row>
    <row r="168" spans="7:27" x14ac:dyDescent="0.25">
      <c r="G168" s="18">
        <v>10</v>
      </c>
      <c r="H168">
        <v>0</v>
      </c>
      <c r="I168">
        <v>0</v>
      </c>
      <c r="J168">
        <v>0</v>
      </c>
      <c r="K168">
        <v>6334400</v>
      </c>
      <c r="L168">
        <v>6163200</v>
      </c>
      <c r="M168">
        <v>0</v>
      </c>
      <c r="N168">
        <v>0</v>
      </c>
      <c r="O168">
        <v>0</v>
      </c>
      <c r="P168">
        <v>0</v>
      </c>
      <c r="Q168">
        <v>1455200</v>
      </c>
      <c r="R168">
        <v>0</v>
      </c>
      <c r="S168">
        <v>0</v>
      </c>
      <c r="T168">
        <v>2996000</v>
      </c>
      <c r="U168">
        <v>0</v>
      </c>
      <c r="V168">
        <v>26536000</v>
      </c>
      <c r="W168">
        <v>0</v>
      </c>
      <c r="X168">
        <v>0</v>
      </c>
      <c r="Y168">
        <v>0</v>
      </c>
      <c r="Z168">
        <v>0</v>
      </c>
      <c r="AA168">
        <v>0</v>
      </c>
    </row>
    <row r="169" spans="7:27" x14ac:dyDescent="0.25">
      <c r="G169" s="18">
        <v>11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9587200</v>
      </c>
      <c r="O169">
        <v>69421600</v>
      </c>
      <c r="P169">
        <v>0</v>
      </c>
      <c r="Q169">
        <v>0</v>
      </c>
      <c r="R169">
        <v>5820800</v>
      </c>
      <c r="S169">
        <v>0</v>
      </c>
      <c r="T169">
        <v>0</v>
      </c>
      <c r="U169">
        <v>6248800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</row>
    <row r="170" spans="7:27" x14ac:dyDescent="0.25">
      <c r="G170" s="18">
        <v>12</v>
      </c>
      <c r="H170">
        <v>10015200</v>
      </c>
      <c r="I170">
        <v>56239200</v>
      </c>
      <c r="J170">
        <v>10357600</v>
      </c>
      <c r="K170">
        <v>0</v>
      </c>
      <c r="L170">
        <v>22940800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3680800</v>
      </c>
      <c r="T170">
        <v>0</v>
      </c>
      <c r="U170">
        <v>0</v>
      </c>
      <c r="V170">
        <v>0</v>
      </c>
      <c r="W170">
        <v>0</v>
      </c>
      <c r="X170">
        <v>22855200</v>
      </c>
      <c r="Y170">
        <v>0</v>
      </c>
      <c r="Z170">
        <v>0</v>
      </c>
      <c r="AA170">
        <v>0</v>
      </c>
    </row>
    <row r="171" spans="7:27" x14ac:dyDescent="0.25">
      <c r="G171" s="18">
        <v>13</v>
      </c>
      <c r="H171">
        <v>2054400</v>
      </c>
      <c r="I171">
        <v>0</v>
      </c>
      <c r="J171">
        <v>0</v>
      </c>
      <c r="K171">
        <v>0</v>
      </c>
      <c r="L171">
        <v>19003200</v>
      </c>
      <c r="M171">
        <v>0</v>
      </c>
      <c r="N171">
        <v>0</v>
      </c>
      <c r="O171">
        <v>0</v>
      </c>
      <c r="P171">
        <v>0</v>
      </c>
      <c r="Q171">
        <v>2996000</v>
      </c>
      <c r="R171">
        <v>0</v>
      </c>
      <c r="S171">
        <v>0</v>
      </c>
      <c r="T171">
        <v>1284000</v>
      </c>
      <c r="U171">
        <v>0</v>
      </c>
      <c r="V171">
        <v>37920800</v>
      </c>
      <c r="W171">
        <v>0</v>
      </c>
      <c r="X171">
        <v>0</v>
      </c>
      <c r="Y171">
        <v>14466400</v>
      </c>
      <c r="Z171">
        <v>0</v>
      </c>
      <c r="AA171">
        <v>13867200</v>
      </c>
    </row>
    <row r="172" spans="7:27" x14ac:dyDescent="0.25">
      <c r="G172" s="18">
        <v>14</v>
      </c>
      <c r="H172">
        <v>0</v>
      </c>
      <c r="I172">
        <v>19260000</v>
      </c>
      <c r="J172">
        <v>40916800</v>
      </c>
      <c r="K172">
        <v>0</v>
      </c>
      <c r="L172">
        <v>5307200</v>
      </c>
      <c r="M172">
        <v>0</v>
      </c>
      <c r="N172">
        <v>2824800</v>
      </c>
      <c r="O172">
        <v>0</v>
      </c>
      <c r="P172">
        <v>0</v>
      </c>
      <c r="Q172">
        <v>0</v>
      </c>
      <c r="R172">
        <v>6248800</v>
      </c>
      <c r="S172">
        <v>0</v>
      </c>
      <c r="T172">
        <v>0</v>
      </c>
      <c r="U172">
        <v>6762400</v>
      </c>
      <c r="V172">
        <v>0</v>
      </c>
      <c r="W172">
        <v>0</v>
      </c>
      <c r="X172">
        <v>2568000</v>
      </c>
      <c r="Y172">
        <v>4365600</v>
      </c>
      <c r="Z172">
        <v>0</v>
      </c>
      <c r="AA172">
        <v>0</v>
      </c>
    </row>
    <row r="173" spans="7:27" x14ac:dyDescent="0.25">
      <c r="G173" s="18">
        <v>15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122750400</v>
      </c>
      <c r="Q173">
        <v>26536000</v>
      </c>
      <c r="R173">
        <v>0</v>
      </c>
      <c r="S173">
        <v>0</v>
      </c>
      <c r="T173">
        <v>37920800</v>
      </c>
      <c r="U173">
        <v>0</v>
      </c>
      <c r="V173">
        <v>5906400</v>
      </c>
      <c r="W173">
        <v>91249600</v>
      </c>
      <c r="X173">
        <v>0</v>
      </c>
      <c r="Y173">
        <v>0</v>
      </c>
      <c r="Z173">
        <v>86284800</v>
      </c>
      <c r="AA173">
        <v>0</v>
      </c>
    </row>
    <row r="174" spans="7:27" x14ac:dyDescent="0.25">
      <c r="G174" s="18">
        <v>16</v>
      </c>
      <c r="H174">
        <v>0</v>
      </c>
      <c r="I174">
        <v>0</v>
      </c>
      <c r="J174">
        <v>75156800</v>
      </c>
      <c r="K174">
        <v>0</v>
      </c>
      <c r="L174">
        <v>0</v>
      </c>
      <c r="M174">
        <v>0</v>
      </c>
      <c r="N174">
        <v>0</v>
      </c>
      <c r="O174">
        <v>72160800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91249600</v>
      </c>
      <c r="W174">
        <v>856000</v>
      </c>
      <c r="X174">
        <v>0</v>
      </c>
      <c r="Y174">
        <v>0</v>
      </c>
      <c r="Z174">
        <v>0</v>
      </c>
      <c r="AA174">
        <v>0</v>
      </c>
    </row>
    <row r="175" spans="7:27" x14ac:dyDescent="0.25">
      <c r="G175" s="18">
        <v>17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17291200</v>
      </c>
      <c r="P175">
        <v>10700000</v>
      </c>
      <c r="Q175">
        <v>0</v>
      </c>
      <c r="R175">
        <v>0</v>
      </c>
      <c r="S175">
        <v>22855200</v>
      </c>
      <c r="T175">
        <v>0</v>
      </c>
      <c r="U175">
        <v>2568000</v>
      </c>
      <c r="V175">
        <v>0</v>
      </c>
      <c r="W175">
        <v>0</v>
      </c>
      <c r="X175">
        <v>1112800</v>
      </c>
      <c r="Y175">
        <v>0</v>
      </c>
      <c r="Z175">
        <v>0</v>
      </c>
      <c r="AA175">
        <v>0</v>
      </c>
    </row>
    <row r="176" spans="7:27" x14ac:dyDescent="0.25">
      <c r="G176" s="18">
        <v>18</v>
      </c>
      <c r="H176">
        <v>0</v>
      </c>
      <c r="I176">
        <v>9587200</v>
      </c>
      <c r="J176">
        <v>8816800</v>
      </c>
      <c r="K176">
        <v>0</v>
      </c>
      <c r="L176">
        <v>7276000</v>
      </c>
      <c r="M176">
        <v>0</v>
      </c>
      <c r="N176">
        <v>0</v>
      </c>
      <c r="O176">
        <v>8816800</v>
      </c>
      <c r="P176">
        <v>0</v>
      </c>
      <c r="Q176">
        <v>0</v>
      </c>
      <c r="R176">
        <v>0</v>
      </c>
      <c r="S176">
        <v>0</v>
      </c>
      <c r="T176">
        <v>14466400</v>
      </c>
      <c r="U176">
        <v>4365600</v>
      </c>
      <c r="V176">
        <v>0</v>
      </c>
      <c r="W176">
        <v>0</v>
      </c>
      <c r="X176">
        <v>0</v>
      </c>
      <c r="Y176">
        <v>2910400</v>
      </c>
      <c r="Z176">
        <v>0</v>
      </c>
      <c r="AA176">
        <v>0</v>
      </c>
    </row>
    <row r="177" spans="7:27" x14ac:dyDescent="0.25">
      <c r="G177" s="18">
        <v>19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99638400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86284800</v>
      </c>
      <c r="W177">
        <v>0</v>
      </c>
      <c r="X177">
        <v>0</v>
      </c>
      <c r="Y177">
        <v>0</v>
      </c>
      <c r="Z177">
        <v>6077600</v>
      </c>
      <c r="AA177">
        <v>0</v>
      </c>
    </row>
    <row r="178" spans="7:27" ht="15.75" thickBot="1" x14ac:dyDescent="0.3">
      <c r="G178" s="19">
        <v>20</v>
      </c>
      <c r="H178">
        <v>0</v>
      </c>
      <c r="I178">
        <v>0</v>
      </c>
      <c r="J178">
        <v>0</v>
      </c>
      <c r="K178">
        <v>41772800</v>
      </c>
      <c r="L178">
        <v>0</v>
      </c>
      <c r="M178">
        <v>0</v>
      </c>
      <c r="N178">
        <v>10357600</v>
      </c>
      <c r="O178">
        <v>0</v>
      </c>
      <c r="P178">
        <v>73016800</v>
      </c>
      <c r="Q178">
        <v>0</v>
      </c>
      <c r="R178">
        <v>0</v>
      </c>
      <c r="S178">
        <v>0</v>
      </c>
      <c r="T178">
        <v>13867200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7361600</v>
      </c>
    </row>
    <row r="182" spans="7:27" ht="15.75" thickBot="1" x14ac:dyDescent="0.3">
      <c r="H182" t="s">
        <v>28</v>
      </c>
    </row>
    <row r="183" spans="7:27" ht="15.75" thickBot="1" x14ac:dyDescent="0.3">
      <c r="H183" s="16">
        <v>1</v>
      </c>
      <c r="I183" s="20">
        <v>2</v>
      </c>
      <c r="J183" s="21">
        <v>3</v>
      </c>
      <c r="K183" s="21">
        <v>4</v>
      </c>
      <c r="L183" s="21">
        <v>5</v>
      </c>
      <c r="M183" s="21">
        <v>6</v>
      </c>
      <c r="N183" s="21">
        <v>7</v>
      </c>
      <c r="O183" s="21">
        <v>8</v>
      </c>
      <c r="P183" s="21">
        <v>9</v>
      </c>
      <c r="Q183" s="21">
        <v>10</v>
      </c>
      <c r="R183" s="21">
        <v>11</v>
      </c>
      <c r="S183" s="21">
        <v>12</v>
      </c>
      <c r="T183" s="21">
        <v>13</v>
      </c>
      <c r="U183" s="21">
        <v>14</v>
      </c>
      <c r="V183" s="21">
        <v>15</v>
      </c>
      <c r="W183" s="21">
        <v>16</v>
      </c>
      <c r="X183" s="21">
        <v>17</v>
      </c>
      <c r="Y183" s="21">
        <v>18</v>
      </c>
      <c r="Z183" s="21">
        <v>19</v>
      </c>
      <c r="AA183" s="22">
        <v>20</v>
      </c>
    </row>
    <row r="184" spans="7:27" x14ac:dyDescent="0.25">
      <c r="G184" s="23">
        <v>1</v>
      </c>
      <c r="H184">
        <v>42</v>
      </c>
      <c r="I184">
        <v>0</v>
      </c>
      <c r="J184">
        <v>424</v>
      </c>
      <c r="K184">
        <v>0</v>
      </c>
      <c r="L184">
        <v>0</v>
      </c>
      <c r="M184">
        <v>106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117</v>
      </c>
      <c r="T184">
        <v>24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</row>
    <row r="185" spans="7:27" x14ac:dyDescent="0.25">
      <c r="G185" s="17">
        <v>2</v>
      </c>
      <c r="H185">
        <v>0</v>
      </c>
      <c r="I185">
        <v>20</v>
      </c>
      <c r="J185">
        <v>0</v>
      </c>
      <c r="K185">
        <v>0</v>
      </c>
      <c r="L185">
        <v>0</v>
      </c>
      <c r="M185">
        <v>846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657</v>
      </c>
      <c r="T185">
        <v>0</v>
      </c>
      <c r="U185">
        <v>225</v>
      </c>
      <c r="V185">
        <v>0</v>
      </c>
      <c r="W185">
        <v>0</v>
      </c>
      <c r="X185">
        <v>0</v>
      </c>
      <c r="Y185">
        <v>112</v>
      </c>
      <c r="Z185">
        <v>0</v>
      </c>
      <c r="AA185">
        <v>0</v>
      </c>
    </row>
    <row r="186" spans="7:27" x14ac:dyDescent="0.25">
      <c r="G186" s="18">
        <v>3</v>
      </c>
      <c r="H186">
        <v>424</v>
      </c>
      <c r="I186">
        <v>0</v>
      </c>
      <c r="J186">
        <v>20</v>
      </c>
      <c r="K186">
        <v>486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121</v>
      </c>
      <c r="T186">
        <v>0</v>
      </c>
      <c r="U186">
        <v>478</v>
      </c>
      <c r="V186">
        <v>0</v>
      </c>
      <c r="W186">
        <v>878</v>
      </c>
      <c r="X186">
        <v>0</v>
      </c>
      <c r="Y186">
        <v>103</v>
      </c>
      <c r="Z186">
        <v>0</v>
      </c>
      <c r="AA186">
        <v>0</v>
      </c>
    </row>
    <row r="187" spans="7:27" x14ac:dyDescent="0.25">
      <c r="G187" s="18">
        <v>4</v>
      </c>
      <c r="H187">
        <v>0</v>
      </c>
      <c r="I187">
        <v>0</v>
      </c>
      <c r="J187">
        <v>486</v>
      </c>
      <c r="K187">
        <v>53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74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488</v>
      </c>
    </row>
    <row r="188" spans="7:27" x14ac:dyDescent="0.25">
      <c r="G188" s="18">
        <v>5</v>
      </c>
      <c r="H188">
        <v>0</v>
      </c>
      <c r="I188">
        <v>0</v>
      </c>
      <c r="J188">
        <v>0</v>
      </c>
      <c r="K188">
        <v>0</v>
      </c>
      <c r="L188">
        <v>49</v>
      </c>
      <c r="M188">
        <v>0</v>
      </c>
      <c r="N188">
        <v>26</v>
      </c>
      <c r="O188">
        <v>106</v>
      </c>
      <c r="P188">
        <v>0</v>
      </c>
      <c r="Q188">
        <v>72</v>
      </c>
      <c r="R188">
        <v>0</v>
      </c>
      <c r="S188">
        <v>268</v>
      </c>
      <c r="T188">
        <v>222</v>
      </c>
      <c r="U188">
        <v>62</v>
      </c>
      <c r="V188">
        <v>0</v>
      </c>
      <c r="W188">
        <v>0</v>
      </c>
      <c r="X188">
        <v>0</v>
      </c>
      <c r="Y188">
        <v>85</v>
      </c>
      <c r="Z188">
        <v>0</v>
      </c>
      <c r="AA188">
        <v>0</v>
      </c>
    </row>
    <row r="189" spans="7:27" x14ac:dyDescent="0.25">
      <c r="G189" s="18">
        <v>6</v>
      </c>
      <c r="H189">
        <v>106</v>
      </c>
      <c r="I189">
        <v>846</v>
      </c>
      <c r="J189">
        <v>0</v>
      </c>
      <c r="K189">
        <v>0</v>
      </c>
      <c r="L189">
        <v>0</v>
      </c>
      <c r="M189">
        <v>85</v>
      </c>
      <c r="N189">
        <v>86</v>
      </c>
      <c r="O189">
        <v>260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1164</v>
      </c>
      <c r="AA189">
        <v>0</v>
      </c>
    </row>
    <row r="190" spans="7:27" x14ac:dyDescent="0.25">
      <c r="G190" s="18">
        <v>7</v>
      </c>
      <c r="H190">
        <v>0</v>
      </c>
      <c r="I190">
        <v>0</v>
      </c>
      <c r="J190">
        <v>0</v>
      </c>
      <c r="K190">
        <v>0</v>
      </c>
      <c r="L190">
        <v>26</v>
      </c>
      <c r="M190">
        <v>86</v>
      </c>
      <c r="N190">
        <v>15</v>
      </c>
      <c r="O190">
        <v>0</v>
      </c>
      <c r="P190">
        <v>0</v>
      </c>
      <c r="Q190">
        <v>0</v>
      </c>
      <c r="R190">
        <v>112</v>
      </c>
      <c r="S190">
        <v>0</v>
      </c>
      <c r="T190">
        <v>0</v>
      </c>
      <c r="U190">
        <v>33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121</v>
      </c>
    </row>
    <row r="191" spans="7:27" x14ac:dyDescent="0.25">
      <c r="G191" s="18">
        <v>8</v>
      </c>
      <c r="H191">
        <v>0</v>
      </c>
      <c r="I191">
        <v>0</v>
      </c>
      <c r="J191">
        <v>0</v>
      </c>
      <c r="K191">
        <v>0</v>
      </c>
      <c r="L191">
        <v>106</v>
      </c>
      <c r="M191">
        <v>260</v>
      </c>
      <c r="N191">
        <v>0</v>
      </c>
      <c r="O191">
        <v>68</v>
      </c>
      <c r="P191">
        <v>0</v>
      </c>
      <c r="Q191">
        <v>0</v>
      </c>
      <c r="R191">
        <v>811</v>
      </c>
      <c r="S191">
        <v>0</v>
      </c>
      <c r="T191">
        <v>0</v>
      </c>
      <c r="U191">
        <v>0</v>
      </c>
      <c r="V191">
        <v>0</v>
      </c>
      <c r="W191">
        <v>843</v>
      </c>
      <c r="X191">
        <v>202</v>
      </c>
      <c r="Y191">
        <v>103</v>
      </c>
      <c r="Z191">
        <v>0</v>
      </c>
      <c r="AA191">
        <v>0</v>
      </c>
    </row>
    <row r="192" spans="7:27" x14ac:dyDescent="0.25">
      <c r="G192" s="18">
        <v>9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86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1434</v>
      </c>
      <c r="W192">
        <v>0</v>
      </c>
      <c r="X192">
        <v>125</v>
      </c>
      <c r="Y192">
        <v>0</v>
      </c>
      <c r="Z192">
        <v>0</v>
      </c>
      <c r="AA192">
        <v>853</v>
      </c>
    </row>
    <row r="193" spans="7:27" x14ac:dyDescent="0.25">
      <c r="G193" s="18">
        <v>10</v>
      </c>
      <c r="H193">
        <v>0</v>
      </c>
      <c r="I193">
        <v>0</v>
      </c>
      <c r="J193">
        <v>0</v>
      </c>
      <c r="K193">
        <v>74</v>
      </c>
      <c r="L193">
        <v>72</v>
      </c>
      <c r="M193">
        <v>0</v>
      </c>
      <c r="N193">
        <v>0</v>
      </c>
      <c r="O193">
        <v>0</v>
      </c>
      <c r="P193">
        <v>0</v>
      </c>
      <c r="Q193">
        <v>17</v>
      </c>
      <c r="R193">
        <v>0</v>
      </c>
      <c r="S193">
        <v>0</v>
      </c>
      <c r="T193">
        <v>35</v>
      </c>
      <c r="U193">
        <v>0</v>
      </c>
      <c r="V193">
        <v>310</v>
      </c>
      <c r="W193">
        <v>0</v>
      </c>
      <c r="X193">
        <v>0</v>
      </c>
      <c r="Y193">
        <v>0</v>
      </c>
      <c r="Z193">
        <v>0</v>
      </c>
      <c r="AA193">
        <v>0</v>
      </c>
    </row>
    <row r="194" spans="7:27" x14ac:dyDescent="0.25">
      <c r="G194" s="18">
        <v>11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112</v>
      </c>
      <c r="O194">
        <v>811</v>
      </c>
      <c r="P194">
        <v>0</v>
      </c>
      <c r="Q194">
        <v>0</v>
      </c>
      <c r="R194">
        <v>68</v>
      </c>
      <c r="S194">
        <v>0</v>
      </c>
      <c r="T194">
        <v>0</v>
      </c>
      <c r="U194">
        <v>73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</row>
    <row r="195" spans="7:27" x14ac:dyDescent="0.25">
      <c r="G195" s="18">
        <v>12</v>
      </c>
      <c r="H195">
        <v>117</v>
      </c>
      <c r="I195">
        <v>657</v>
      </c>
      <c r="J195">
        <v>121</v>
      </c>
      <c r="K195">
        <v>0</v>
      </c>
      <c r="L195">
        <v>268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43</v>
      </c>
      <c r="T195">
        <v>0</v>
      </c>
      <c r="U195">
        <v>0</v>
      </c>
      <c r="V195">
        <v>0</v>
      </c>
      <c r="W195">
        <v>0</v>
      </c>
      <c r="X195">
        <v>267</v>
      </c>
      <c r="Y195">
        <v>0</v>
      </c>
      <c r="Z195">
        <v>0</v>
      </c>
      <c r="AA195">
        <v>0</v>
      </c>
    </row>
    <row r="196" spans="7:27" x14ac:dyDescent="0.25">
      <c r="G196" s="18">
        <v>13</v>
      </c>
      <c r="H196">
        <v>24</v>
      </c>
      <c r="I196">
        <v>0</v>
      </c>
      <c r="J196">
        <v>0</v>
      </c>
      <c r="K196">
        <v>0</v>
      </c>
      <c r="L196">
        <v>222</v>
      </c>
      <c r="M196">
        <v>0</v>
      </c>
      <c r="N196">
        <v>0</v>
      </c>
      <c r="O196">
        <v>0</v>
      </c>
      <c r="P196">
        <v>0</v>
      </c>
      <c r="Q196">
        <v>35</v>
      </c>
      <c r="R196">
        <v>0</v>
      </c>
      <c r="S196">
        <v>0</v>
      </c>
      <c r="T196">
        <v>15</v>
      </c>
      <c r="U196">
        <v>0</v>
      </c>
      <c r="V196">
        <v>443</v>
      </c>
      <c r="W196">
        <v>0</v>
      </c>
      <c r="X196">
        <v>0</v>
      </c>
      <c r="Y196">
        <v>169</v>
      </c>
      <c r="Z196">
        <v>0</v>
      </c>
      <c r="AA196">
        <v>162</v>
      </c>
    </row>
    <row r="197" spans="7:27" x14ac:dyDescent="0.25">
      <c r="G197" s="18">
        <v>14</v>
      </c>
      <c r="H197">
        <v>0</v>
      </c>
      <c r="I197">
        <v>225</v>
      </c>
      <c r="J197">
        <v>478</v>
      </c>
      <c r="K197">
        <v>0</v>
      </c>
      <c r="L197">
        <v>62</v>
      </c>
      <c r="M197">
        <v>0</v>
      </c>
      <c r="N197">
        <v>33</v>
      </c>
      <c r="O197">
        <v>0</v>
      </c>
      <c r="P197">
        <v>0</v>
      </c>
      <c r="Q197">
        <v>0</v>
      </c>
      <c r="R197">
        <v>73</v>
      </c>
      <c r="S197">
        <v>0</v>
      </c>
      <c r="T197">
        <v>0</v>
      </c>
      <c r="U197">
        <v>79</v>
      </c>
      <c r="V197">
        <v>0</v>
      </c>
      <c r="W197">
        <v>0</v>
      </c>
      <c r="X197">
        <v>30</v>
      </c>
      <c r="Y197">
        <v>51</v>
      </c>
      <c r="Z197">
        <v>0</v>
      </c>
      <c r="AA197">
        <v>0</v>
      </c>
    </row>
    <row r="198" spans="7:27" x14ac:dyDescent="0.25">
      <c r="G198" s="18">
        <v>15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1434</v>
      </c>
      <c r="Q198">
        <v>310</v>
      </c>
      <c r="R198">
        <v>0</v>
      </c>
      <c r="S198">
        <v>0</v>
      </c>
      <c r="T198">
        <v>443</v>
      </c>
      <c r="U198">
        <v>0</v>
      </c>
      <c r="V198">
        <v>69</v>
      </c>
      <c r="W198">
        <v>1066</v>
      </c>
      <c r="X198">
        <v>0</v>
      </c>
      <c r="Y198">
        <v>0</v>
      </c>
      <c r="Z198">
        <v>1008</v>
      </c>
      <c r="AA198">
        <v>0</v>
      </c>
    </row>
    <row r="199" spans="7:27" x14ac:dyDescent="0.25">
      <c r="G199" s="18">
        <v>16</v>
      </c>
      <c r="H199">
        <v>0</v>
      </c>
      <c r="I199">
        <v>0</v>
      </c>
      <c r="J199">
        <v>878</v>
      </c>
      <c r="K199">
        <v>0</v>
      </c>
      <c r="L199">
        <v>0</v>
      </c>
      <c r="M199">
        <v>0</v>
      </c>
      <c r="N199">
        <v>0</v>
      </c>
      <c r="O199">
        <v>843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1066</v>
      </c>
      <c r="W199">
        <v>10</v>
      </c>
      <c r="X199">
        <v>0</v>
      </c>
      <c r="Y199">
        <v>0</v>
      </c>
      <c r="Z199">
        <v>0</v>
      </c>
      <c r="AA199">
        <v>0</v>
      </c>
    </row>
    <row r="200" spans="7:27" x14ac:dyDescent="0.25">
      <c r="G200" s="18">
        <v>17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202</v>
      </c>
      <c r="P200">
        <v>125</v>
      </c>
      <c r="Q200">
        <v>0</v>
      </c>
      <c r="R200">
        <v>0</v>
      </c>
      <c r="S200">
        <v>267</v>
      </c>
      <c r="T200">
        <v>0</v>
      </c>
      <c r="U200">
        <v>30</v>
      </c>
      <c r="V200">
        <v>0</v>
      </c>
      <c r="W200">
        <v>0</v>
      </c>
      <c r="X200">
        <v>13</v>
      </c>
      <c r="Y200">
        <v>0</v>
      </c>
      <c r="Z200">
        <v>0</v>
      </c>
      <c r="AA200">
        <v>0</v>
      </c>
    </row>
    <row r="201" spans="7:27" x14ac:dyDescent="0.25">
      <c r="G201" s="18">
        <v>18</v>
      </c>
      <c r="H201">
        <v>0</v>
      </c>
      <c r="I201">
        <v>112</v>
      </c>
      <c r="J201">
        <v>103</v>
      </c>
      <c r="K201">
        <v>0</v>
      </c>
      <c r="L201">
        <v>85</v>
      </c>
      <c r="M201">
        <v>0</v>
      </c>
      <c r="N201">
        <v>0</v>
      </c>
      <c r="O201">
        <v>103</v>
      </c>
      <c r="P201">
        <v>0</v>
      </c>
      <c r="Q201">
        <v>0</v>
      </c>
      <c r="R201">
        <v>0</v>
      </c>
      <c r="S201">
        <v>0</v>
      </c>
      <c r="T201">
        <v>169</v>
      </c>
      <c r="U201">
        <v>51</v>
      </c>
      <c r="V201">
        <v>0</v>
      </c>
      <c r="W201">
        <v>0</v>
      </c>
      <c r="X201">
        <v>0</v>
      </c>
      <c r="Y201">
        <v>34</v>
      </c>
      <c r="Z201">
        <v>0</v>
      </c>
      <c r="AA201">
        <v>0</v>
      </c>
    </row>
    <row r="202" spans="7:27" x14ac:dyDescent="0.25">
      <c r="G202" s="18">
        <v>19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1164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1008</v>
      </c>
      <c r="W202">
        <v>0</v>
      </c>
      <c r="X202">
        <v>0</v>
      </c>
      <c r="Y202">
        <v>0</v>
      </c>
      <c r="Z202">
        <v>71</v>
      </c>
      <c r="AA202">
        <v>0</v>
      </c>
    </row>
    <row r="203" spans="7:27" ht="15.75" thickBot="1" x14ac:dyDescent="0.3">
      <c r="G203" s="19">
        <v>20</v>
      </c>
      <c r="H203">
        <v>0</v>
      </c>
      <c r="I203">
        <v>0</v>
      </c>
      <c r="J203">
        <v>0</v>
      </c>
      <c r="K203">
        <v>488</v>
      </c>
      <c r="L203">
        <v>0</v>
      </c>
      <c r="M203">
        <v>0</v>
      </c>
      <c r="N203">
        <v>121</v>
      </c>
      <c r="O203">
        <v>0</v>
      </c>
      <c r="P203">
        <v>853</v>
      </c>
      <c r="Q203">
        <v>0</v>
      </c>
      <c r="R203">
        <v>0</v>
      </c>
      <c r="S203">
        <v>0</v>
      </c>
      <c r="T203">
        <v>162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86</v>
      </c>
    </row>
    <row r="207" spans="7:27" ht="15.75" thickBot="1" x14ac:dyDescent="0.3">
      <c r="H207" t="s">
        <v>32</v>
      </c>
    </row>
    <row r="208" spans="7:27" ht="15.75" thickBot="1" x14ac:dyDescent="0.3">
      <c r="H208" s="16">
        <v>1</v>
      </c>
      <c r="I208" s="20">
        <v>2</v>
      </c>
      <c r="J208" s="21">
        <v>3</v>
      </c>
      <c r="K208" s="21">
        <v>4</v>
      </c>
      <c r="L208" s="21">
        <v>5</v>
      </c>
      <c r="M208" s="21">
        <v>6</v>
      </c>
      <c r="N208" s="21">
        <v>7</v>
      </c>
      <c r="O208" s="21">
        <v>8</v>
      </c>
      <c r="P208" s="21">
        <v>9</v>
      </c>
      <c r="Q208" s="21">
        <v>10</v>
      </c>
      <c r="R208" s="21">
        <v>11</v>
      </c>
      <c r="S208" s="21">
        <v>12</v>
      </c>
      <c r="T208" s="21">
        <v>13</v>
      </c>
      <c r="U208" s="21">
        <v>14</v>
      </c>
      <c r="V208" s="21">
        <v>15</v>
      </c>
      <c r="W208" s="21">
        <v>16</v>
      </c>
      <c r="X208" s="21">
        <v>17</v>
      </c>
      <c r="Y208" s="21">
        <v>18</v>
      </c>
      <c r="Z208" s="21">
        <v>19</v>
      </c>
      <c r="AA208" s="22">
        <v>20</v>
      </c>
    </row>
    <row r="209" spans="7:27" x14ac:dyDescent="0.25">
      <c r="G209" s="23">
        <v>1</v>
      </c>
      <c r="H209">
        <v>3631200</v>
      </c>
      <c r="I209">
        <v>0</v>
      </c>
      <c r="J209">
        <v>36380400</v>
      </c>
      <c r="K209">
        <v>0</v>
      </c>
      <c r="L209">
        <v>0</v>
      </c>
      <c r="M209">
        <v>9109600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10061200</v>
      </c>
      <c r="T209">
        <v>2090400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</row>
    <row r="210" spans="7:27" x14ac:dyDescent="0.25">
      <c r="G210" s="17">
        <v>2</v>
      </c>
      <c r="H210">
        <v>0</v>
      </c>
      <c r="I210">
        <v>1748000</v>
      </c>
      <c r="J210">
        <v>0</v>
      </c>
      <c r="K210">
        <v>0</v>
      </c>
      <c r="L210">
        <v>0</v>
      </c>
      <c r="M210">
        <v>72573600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56375200</v>
      </c>
      <c r="T210">
        <v>0</v>
      </c>
      <c r="U210">
        <v>19296000</v>
      </c>
      <c r="V210">
        <v>0</v>
      </c>
      <c r="W210">
        <v>0</v>
      </c>
      <c r="X210">
        <v>0</v>
      </c>
      <c r="Y210">
        <v>9623200</v>
      </c>
      <c r="Z210">
        <v>0</v>
      </c>
      <c r="AA210">
        <v>0</v>
      </c>
    </row>
    <row r="211" spans="7:27" x14ac:dyDescent="0.25">
      <c r="G211" s="18">
        <v>3</v>
      </c>
      <c r="H211">
        <v>36380400</v>
      </c>
      <c r="I211">
        <v>0</v>
      </c>
      <c r="J211">
        <v>1748000</v>
      </c>
      <c r="K211">
        <v>41677600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10403600</v>
      </c>
      <c r="T211">
        <v>0</v>
      </c>
      <c r="U211">
        <v>40992800</v>
      </c>
      <c r="V211">
        <v>0</v>
      </c>
      <c r="W211">
        <v>75272800</v>
      </c>
      <c r="X211">
        <v>0</v>
      </c>
      <c r="Y211">
        <v>8862800</v>
      </c>
      <c r="Z211">
        <v>0</v>
      </c>
      <c r="AA211">
        <v>0</v>
      </c>
    </row>
    <row r="212" spans="7:27" x14ac:dyDescent="0.25">
      <c r="G212" s="18">
        <v>4</v>
      </c>
      <c r="H212">
        <v>0</v>
      </c>
      <c r="I212">
        <v>0</v>
      </c>
      <c r="J212">
        <v>41677600</v>
      </c>
      <c r="K212">
        <v>4572800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6380400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41848800</v>
      </c>
    </row>
    <row r="213" spans="7:27" x14ac:dyDescent="0.25">
      <c r="G213" s="18">
        <v>5</v>
      </c>
      <c r="H213">
        <v>0</v>
      </c>
      <c r="I213">
        <v>0</v>
      </c>
      <c r="J213">
        <v>0</v>
      </c>
      <c r="K213">
        <v>0</v>
      </c>
      <c r="L213">
        <v>4230400</v>
      </c>
      <c r="M213">
        <v>0</v>
      </c>
      <c r="N213">
        <v>2261600</v>
      </c>
      <c r="O213">
        <v>9109600</v>
      </c>
      <c r="P213">
        <v>0</v>
      </c>
      <c r="Q213">
        <v>6209200</v>
      </c>
      <c r="R213">
        <v>0</v>
      </c>
      <c r="S213">
        <v>23006800</v>
      </c>
      <c r="T213">
        <v>19069200</v>
      </c>
      <c r="U213">
        <v>5343200</v>
      </c>
      <c r="V213">
        <v>0</v>
      </c>
      <c r="W213">
        <v>0</v>
      </c>
      <c r="X213">
        <v>0</v>
      </c>
      <c r="Y213">
        <v>7332000</v>
      </c>
      <c r="Z213">
        <v>0</v>
      </c>
      <c r="AA213">
        <v>0</v>
      </c>
    </row>
    <row r="214" spans="7:27" x14ac:dyDescent="0.25">
      <c r="G214" s="18">
        <v>6</v>
      </c>
      <c r="H214">
        <v>9109600</v>
      </c>
      <c r="I214">
        <v>72573600</v>
      </c>
      <c r="J214">
        <v>0</v>
      </c>
      <c r="K214">
        <v>0</v>
      </c>
      <c r="L214">
        <v>0</v>
      </c>
      <c r="M214">
        <v>7312000</v>
      </c>
      <c r="N214">
        <v>7397600</v>
      </c>
      <c r="O214">
        <v>22292000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99824400</v>
      </c>
      <c r="AA214">
        <v>0</v>
      </c>
    </row>
    <row r="215" spans="7:27" x14ac:dyDescent="0.25">
      <c r="G215" s="18">
        <v>7</v>
      </c>
      <c r="H215">
        <v>0</v>
      </c>
      <c r="I215">
        <v>0</v>
      </c>
      <c r="J215">
        <v>0</v>
      </c>
      <c r="K215">
        <v>0</v>
      </c>
      <c r="L215">
        <v>2261600</v>
      </c>
      <c r="M215">
        <v>7397600</v>
      </c>
      <c r="N215">
        <v>1320000</v>
      </c>
      <c r="O215">
        <v>0</v>
      </c>
      <c r="P215">
        <v>0</v>
      </c>
      <c r="Q215">
        <v>0</v>
      </c>
      <c r="R215">
        <v>9663200</v>
      </c>
      <c r="S215">
        <v>0</v>
      </c>
      <c r="T215">
        <v>0</v>
      </c>
      <c r="U215">
        <v>2860800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10413600</v>
      </c>
    </row>
    <row r="216" spans="7:27" x14ac:dyDescent="0.25">
      <c r="G216" s="18">
        <v>8</v>
      </c>
      <c r="H216">
        <v>0</v>
      </c>
      <c r="I216">
        <v>0</v>
      </c>
      <c r="J216">
        <v>0</v>
      </c>
      <c r="K216">
        <v>0</v>
      </c>
      <c r="L216">
        <v>9109600</v>
      </c>
      <c r="M216">
        <v>22292000</v>
      </c>
      <c r="N216">
        <v>0</v>
      </c>
      <c r="O216">
        <v>5856800</v>
      </c>
      <c r="P216">
        <v>0</v>
      </c>
      <c r="Q216">
        <v>0</v>
      </c>
      <c r="R216">
        <v>69657600</v>
      </c>
      <c r="S216">
        <v>0</v>
      </c>
      <c r="T216">
        <v>0</v>
      </c>
      <c r="U216">
        <v>0</v>
      </c>
      <c r="V216">
        <v>0</v>
      </c>
      <c r="W216">
        <v>72256800</v>
      </c>
      <c r="X216">
        <v>17347200</v>
      </c>
      <c r="Y216">
        <v>8862800</v>
      </c>
      <c r="Z216">
        <v>0</v>
      </c>
      <c r="AA216">
        <v>0</v>
      </c>
    </row>
    <row r="217" spans="7:27" x14ac:dyDescent="0.25">
      <c r="G217" s="18">
        <v>9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7397600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122876400</v>
      </c>
      <c r="W217">
        <v>0</v>
      </c>
      <c r="X217">
        <v>10766000</v>
      </c>
      <c r="Y217">
        <v>0</v>
      </c>
      <c r="Z217">
        <v>0</v>
      </c>
      <c r="AA217">
        <v>73142800</v>
      </c>
    </row>
    <row r="218" spans="7:27" x14ac:dyDescent="0.25">
      <c r="G218" s="18">
        <v>10</v>
      </c>
      <c r="H218">
        <v>0</v>
      </c>
      <c r="I218">
        <v>0</v>
      </c>
      <c r="J218">
        <v>0</v>
      </c>
      <c r="K218">
        <v>6380400</v>
      </c>
      <c r="L218">
        <v>6209200</v>
      </c>
      <c r="M218">
        <v>0</v>
      </c>
      <c r="N218">
        <v>0</v>
      </c>
      <c r="O218">
        <v>0</v>
      </c>
      <c r="P218">
        <v>0</v>
      </c>
      <c r="Q218">
        <v>1491200</v>
      </c>
      <c r="R218">
        <v>0</v>
      </c>
      <c r="S218">
        <v>0</v>
      </c>
      <c r="T218">
        <v>3042000</v>
      </c>
      <c r="U218">
        <v>0</v>
      </c>
      <c r="V218">
        <v>26622000</v>
      </c>
      <c r="W218">
        <v>0</v>
      </c>
      <c r="X218">
        <v>0</v>
      </c>
      <c r="Y218">
        <v>0</v>
      </c>
      <c r="Z218">
        <v>0</v>
      </c>
      <c r="AA218">
        <v>0</v>
      </c>
    </row>
    <row r="219" spans="7:27" x14ac:dyDescent="0.25">
      <c r="G219" s="18">
        <v>11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9663200</v>
      </c>
      <c r="O219">
        <v>69647600</v>
      </c>
      <c r="P219">
        <v>0</v>
      </c>
      <c r="Q219">
        <v>0</v>
      </c>
      <c r="R219">
        <v>5856800</v>
      </c>
      <c r="S219">
        <v>0</v>
      </c>
      <c r="T219">
        <v>0</v>
      </c>
      <c r="U219">
        <v>6284800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</row>
    <row r="220" spans="7:27" x14ac:dyDescent="0.25">
      <c r="G220" s="18">
        <v>12</v>
      </c>
      <c r="H220">
        <v>10061200</v>
      </c>
      <c r="I220">
        <v>56375200</v>
      </c>
      <c r="J220">
        <v>10403600</v>
      </c>
      <c r="K220">
        <v>0</v>
      </c>
      <c r="L220">
        <v>23006800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3716800</v>
      </c>
      <c r="T220">
        <v>0</v>
      </c>
      <c r="U220">
        <v>0</v>
      </c>
      <c r="V220">
        <v>0</v>
      </c>
      <c r="W220">
        <v>0</v>
      </c>
      <c r="X220">
        <v>22931200</v>
      </c>
      <c r="Y220">
        <v>0</v>
      </c>
      <c r="Z220">
        <v>0</v>
      </c>
      <c r="AA220">
        <v>0</v>
      </c>
    </row>
    <row r="221" spans="7:27" x14ac:dyDescent="0.25">
      <c r="G221" s="18">
        <v>13</v>
      </c>
      <c r="H221">
        <v>2090400</v>
      </c>
      <c r="I221">
        <v>0</v>
      </c>
      <c r="J221">
        <v>0</v>
      </c>
      <c r="K221">
        <v>0</v>
      </c>
      <c r="L221">
        <v>19069200</v>
      </c>
      <c r="M221">
        <v>0</v>
      </c>
      <c r="N221">
        <v>0</v>
      </c>
      <c r="O221">
        <v>0</v>
      </c>
      <c r="P221">
        <v>0</v>
      </c>
      <c r="Q221">
        <v>3042000</v>
      </c>
      <c r="R221">
        <v>0</v>
      </c>
      <c r="S221">
        <v>0</v>
      </c>
      <c r="T221">
        <v>1320000</v>
      </c>
      <c r="U221">
        <v>0</v>
      </c>
      <c r="V221">
        <v>38006800</v>
      </c>
      <c r="W221">
        <v>0</v>
      </c>
      <c r="X221">
        <v>0</v>
      </c>
      <c r="Y221">
        <v>14522400</v>
      </c>
      <c r="Z221">
        <v>0</v>
      </c>
      <c r="AA221">
        <v>13923200</v>
      </c>
    </row>
    <row r="222" spans="7:27" x14ac:dyDescent="0.25">
      <c r="G222" s="18">
        <v>14</v>
      </c>
      <c r="H222">
        <v>0</v>
      </c>
      <c r="I222">
        <v>19296000</v>
      </c>
      <c r="J222">
        <v>40992800</v>
      </c>
      <c r="K222">
        <v>0</v>
      </c>
      <c r="L222">
        <v>5343200</v>
      </c>
      <c r="M222">
        <v>0</v>
      </c>
      <c r="N222">
        <v>2860800</v>
      </c>
      <c r="O222">
        <v>0</v>
      </c>
      <c r="P222">
        <v>0</v>
      </c>
      <c r="Q222">
        <v>0</v>
      </c>
      <c r="R222">
        <v>6284800</v>
      </c>
      <c r="S222">
        <v>0</v>
      </c>
      <c r="T222">
        <v>0</v>
      </c>
      <c r="U222">
        <v>6798400</v>
      </c>
      <c r="V222">
        <v>0</v>
      </c>
      <c r="W222">
        <v>0</v>
      </c>
      <c r="X222">
        <v>2604000</v>
      </c>
      <c r="Y222">
        <v>4401600</v>
      </c>
      <c r="Z222">
        <v>0</v>
      </c>
      <c r="AA222">
        <v>0</v>
      </c>
    </row>
    <row r="223" spans="7:27" x14ac:dyDescent="0.25">
      <c r="G223" s="18">
        <v>15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122876400</v>
      </c>
      <c r="Q223">
        <v>26622000</v>
      </c>
      <c r="R223">
        <v>0</v>
      </c>
      <c r="S223">
        <v>0</v>
      </c>
      <c r="T223">
        <v>38006800</v>
      </c>
      <c r="U223">
        <v>0</v>
      </c>
      <c r="V223">
        <v>5942400</v>
      </c>
      <c r="W223">
        <v>91355600</v>
      </c>
      <c r="X223">
        <v>0</v>
      </c>
      <c r="Y223">
        <v>0</v>
      </c>
      <c r="Z223">
        <v>86380800</v>
      </c>
      <c r="AA223">
        <v>0</v>
      </c>
    </row>
    <row r="224" spans="7:27" x14ac:dyDescent="0.25">
      <c r="G224" s="18">
        <v>16</v>
      </c>
      <c r="H224">
        <v>0</v>
      </c>
      <c r="I224">
        <v>0</v>
      </c>
      <c r="J224">
        <v>75272800</v>
      </c>
      <c r="K224">
        <v>0</v>
      </c>
      <c r="L224">
        <v>0</v>
      </c>
      <c r="M224">
        <v>0</v>
      </c>
      <c r="N224">
        <v>0</v>
      </c>
      <c r="O224">
        <v>72256800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91355600</v>
      </c>
      <c r="W224">
        <v>892000</v>
      </c>
      <c r="X224">
        <v>0</v>
      </c>
      <c r="Y224">
        <v>0</v>
      </c>
      <c r="Z224">
        <v>0</v>
      </c>
      <c r="AA224">
        <v>0</v>
      </c>
    </row>
    <row r="225" spans="7:27" x14ac:dyDescent="0.25">
      <c r="G225" s="18">
        <v>17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17347200</v>
      </c>
      <c r="P225">
        <v>10766000</v>
      </c>
      <c r="Q225">
        <v>0</v>
      </c>
      <c r="R225">
        <v>0</v>
      </c>
      <c r="S225">
        <v>22931200</v>
      </c>
      <c r="T225">
        <v>0</v>
      </c>
      <c r="U225">
        <v>2604000</v>
      </c>
      <c r="V225">
        <v>0</v>
      </c>
      <c r="W225">
        <v>0</v>
      </c>
      <c r="X225">
        <v>1148800</v>
      </c>
      <c r="Y225">
        <v>0</v>
      </c>
      <c r="Z225">
        <v>0</v>
      </c>
      <c r="AA225">
        <v>0</v>
      </c>
    </row>
    <row r="226" spans="7:27" x14ac:dyDescent="0.25">
      <c r="G226" s="18">
        <v>18</v>
      </c>
      <c r="H226">
        <v>0</v>
      </c>
      <c r="I226">
        <v>9623200</v>
      </c>
      <c r="J226">
        <v>8862800</v>
      </c>
      <c r="K226">
        <v>0</v>
      </c>
      <c r="L226">
        <v>7332000</v>
      </c>
      <c r="M226">
        <v>0</v>
      </c>
      <c r="N226">
        <v>0</v>
      </c>
      <c r="O226">
        <v>8862800</v>
      </c>
      <c r="P226">
        <v>0</v>
      </c>
      <c r="Q226">
        <v>0</v>
      </c>
      <c r="R226">
        <v>0</v>
      </c>
      <c r="S226">
        <v>0</v>
      </c>
      <c r="T226">
        <v>14522400</v>
      </c>
      <c r="U226">
        <v>4401600</v>
      </c>
      <c r="V226">
        <v>0</v>
      </c>
      <c r="W226">
        <v>0</v>
      </c>
      <c r="X226">
        <v>0</v>
      </c>
      <c r="Y226">
        <v>2946400</v>
      </c>
      <c r="Z226">
        <v>0</v>
      </c>
      <c r="AA226">
        <v>0</v>
      </c>
    </row>
    <row r="227" spans="7:27" x14ac:dyDescent="0.25">
      <c r="G227" s="18">
        <v>19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99824400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86380800</v>
      </c>
      <c r="W227">
        <v>0</v>
      </c>
      <c r="X227">
        <v>0</v>
      </c>
      <c r="Y227">
        <v>0</v>
      </c>
      <c r="Z227">
        <v>6113600</v>
      </c>
      <c r="AA227">
        <v>0</v>
      </c>
    </row>
    <row r="228" spans="7:27" ht="15.75" thickBot="1" x14ac:dyDescent="0.3">
      <c r="G228" s="19">
        <v>20</v>
      </c>
      <c r="H228">
        <v>0</v>
      </c>
      <c r="I228">
        <v>0</v>
      </c>
      <c r="J228">
        <v>0</v>
      </c>
      <c r="K228">
        <v>41848800</v>
      </c>
      <c r="L228">
        <v>0</v>
      </c>
      <c r="M228">
        <v>0</v>
      </c>
      <c r="N228">
        <v>10413600</v>
      </c>
      <c r="O228">
        <v>0</v>
      </c>
      <c r="P228">
        <v>73142800</v>
      </c>
      <c r="Q228">
        <v>0</v>
      </c>
      <c r="R228">
        <v>0</v>
      </c>
      <c r="S228">
        <v>0</v>
      </c>
      <c r="T228">
        <v>13923200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7397600</v>
      </c>
    </row>
    <row r="232" spans="7:27" ht="15.75" thickBot="1" x14ac:dyDescent="0.3">
      <c r="H232" t="s">
        <v>33</v>
      </c>
    </row>
    <row r="233" spans="7:27" ht="15.75" thickBot="1" x14ac:dyDescent="0.3">
      <c r="H233" s="16">
        <v>1</v>
      </c>
      <c r="I233" s="20">
        <v>2</v>
      </c>
      <c r="J233" s="21">
        <v>3</v>
      </c>
      <c r="K233" s="21">
        <v>4</v>
      </c>
      <c r="L233" s="21">
        <v>5</v>
      </c>
      <c r="M233" s="21">
        <v>6</v>
      </c>
      <c r="N233" s="21">
        <v>7</v>
      </c>
      <c r="O233" s="21">
        <v>8</v>
      </c>
      <c r="P233" s="21">
        <v>9</v>
      </c>
      <c r="Q233" s="21">
        <v>10</v>
      </c>
      <c r="R233" s="21">
        <v>11</v>
      </c>
      <c r="S233" s="21">
        <v>12</v>
      </c>
      <c r="T233" s="21">
        <v>13</v>
      </c>
      <c r="U233" s="21">
        <v>14</v>
      </c>
      <c r="V233" s="21">
        <v>15</v>
      </c>
      <c r="W233" s="21">
        <v>16</v>
      </c>
      <c r="X233" s="21">
        <v>17</v>
      </c>
      <c r="Y233" s="21">
        <v>18</v>
      </c>
      <c r="Z233" s="21">
        <v>19</v>
      </c>
      <c r="AA233" s="22">
        <v>20</v>
      </c>
    </row>
    <row r="234" spans="7:27" x14ac:dyDescent="0.25">
      <c r="G234" s="23">
        <v>1</v>
      </c>
      <c r="H234" t="s">
        <v>73</v>
      </c>
      <c r="I234">
        <v>0</v>
      </c>
      <c r="J234" t="s">
        <v>74</v>
      </c>
      <c r="K234">
        <v>0</v>
      </c>
      <c r="L234">
        <v>0</v>
      </c>
      <c r="M234" t="s">
        <v>73</v>
      </c>
      <c r="N234">
        <v>0</v>
      </c>
      <c r="O234">
        <v>0</v>
      </c>
      <c r="P234">
        <v>0</v>
      </c>
      <c r="Q234">
        <v>0</v>
      </c>
      <c r="R234">
        <v>0</v>
      </c>
      <c r="S234" t="s">
        <v>75</v>
      </c>
      <c r="T234" t="s">
        <v>73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</row>
    <row r="235" spans="7:27" x14ac:dyDescent="0.25">
      <c r="G235" s="17">
        <v>2</v>
      </c>
      <c r="H235">
        <v>0</v>
      </c>
      <c r="I235" t="s">
        <v>73</v>
      </c>
      <c r="J235">
        <v>0</v>
      </c>
      <c r="K235">
        <v>0</v>
      </c>
      <c r="L235">
        <v>0</v>
      </c>
      <c r="M235" t="s">
        <v>76</v>
      </c>
      <c r="N235">
        <v>0</v>
      </c>
      <c r="O235">
        <v>0</v>
      </c>
      <c r="P235">
        <v>0</v>
      </c>
      <c r="Q235">
        <v>0</v>
      </c>
      <c r="R235">
        <v>0</v>
      </c>
      <c r="S235" t="s">
        <v>77</v>
      </c>
      <c r="T235">
        <v>0</v>
      </c>
      <c r="U235" t="s">
        <v>73</v>
      </c>
      <c r="V235">
        <v>0</v>
      </c>
      <c r="W235">
        <v>0</v>
      </c>
      <c r="X235">
        <v>0</v>
      </c>
      <c r="Y235" t="s">
        <v>73</v>
      </c>
      <c r="Z235">
        <v>0</v>
      </c>
      <c r="AA235">
        <v>0</v>
      </c>
    </row>
    <row r="236" spans="7:27" x14ac:dyDescent="0.25">
      <c r="G236" s="18">
        <v>3</v>
      </c>
      <c r="H236" t="s">
        <v>74</v>
      </c>
      <c r="I236">
        <v>0</v>
      </c>
      <c r="J236" t="s">
        <v>73</v>
      </c>
      <c r="K236" t="s">
        <v>78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 t="s">
        <v>75</v>
      </c>
      <c r="T236">
        <v>0</v>
      </c>
      <c r="U236" t="s">
        <v>78</v>
      </c>
      <c r="V236">
        <v>0</v>
      </c>
      <c r="W236" t="s">
        <v>79</v>
      </c>
      <c r="X236">
        <v>0</v>
      </c>
      <c r="Y236" t="s">
        <v>75</v>
      </c>
      <c r="Z236">
        <v>0</v>
      </c>
      <c r="AA236">
        <v>0</v>
      </c>
    </row>
    <row r="237" spans="7:27" x14ac:dyDescent="0.25">
      <c r="G237" s="18">
        <v>4</v>
      </c>
      <c r="H237">
        <v>0</v>
      </c>
      <c r="I237">
        <v>0</v>
      </c>
      <c r="J237" t="s">
        <v>78</v>
      </c>
      <c r="K237" t="s">
        <v>73</v>
      </c>
      <c r="L237">
        <v>0</v>
      </c>
      <c r="M237">
        <v>0</v>
      </c>
      <c r="N237">
        <v>0</v>
      </c>
      <c r="O237">
        <v>0</v>
      </c>
      <c r="P237">
        <v>0</v>
      </c>
      <c r="Q237" t="s">
        <v>75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 t="s">
        <v>78</v>
      </c>
    </row>
    <row r="238" spans="7:27" x14ac:dyDescent="0.25">
      <c r="G238" s="18">
        <v>5</v>
      </c>
      <c r="H238">
        <v>0</v>
      </c>
      <c r="I238">
        <v>0</v>
      </c>
      <c r="J238">
        <v>0</v>
      </c>
      <c r="K238">
        <v>0</v>
      </c>
      <c r="L238" t="s">
        <v>73</v>
      </c>
      <c r="M238">
        <v>0</v>
      </c>
      <c r="N238" t="s">
        <v>73</v>
      </c>
      <c r="O238" t="s">
        <v>73</v>
      </c>
      <c r="P238">
        <v>0</v>
      </c>
      <c r="Q238" t="s">
        <v>75</v>
      </c>
      <c r="R238">
        <v>0</v>
      </c>
      <c r="S238" t="s">
        <v>80</v>
      </c>
      <c r="T238" t="s">
        <v>80</v>
      </c>
      <c r="U238" t="s">
        <v>73</v>
      </c>
      <c r="V238">
        <v>0</v>
      </c>
      <c r="W238">
        <v>0</v>
      </c>
      <c r="X238">
        <v>0</v>
      </c>
      <c r="Y238" t="s">
        <v>81</v>
      </c>
      <c r="Z238">
        <v>0</v>
      </c>
      <c r="AA238">
        <v>0</v>
      </c>
    </row>
    <row r="239" spans="7:27" x14ac:dyDescent="0.25">
      <c r="G239" s="18">
        <v>6</v>
      </c>
      <c r="H239" t="s">
        <v>73</v>
      </c>
      <c r="I239" t="s">
        <v>76</v>
      </c>
      <c r="J239">
        <v>0</v>
      </c>
      <c r="K239">
        <v>0</v>
      </c>
      <c r="L239">
        <v>0</v>
      </c>
      <c r="M239" t="s">
        <v>73</v>
      </c>
      <c r="N239" t="s">
        <v>73</v>
      </c>
      <c r="O239" t="s">
        <v>73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 t="s">
        <v>82</v>
      </c>
      <c r="AA239">
        <v>0</v>
      </c>
    </row>
    <row r="240" spans="7:27" x14ac:dyDescent="0.25">
      <c r="G240" s="18">
        <v>7</v>
      </c>
      <c r="H240">
        <v>0</v>
      </c>
      <c r="I240">
        <v>0</v>
      </c>
      <c r="J240">
        <v>0</v>
      </c>
      <c r="K240">
        <v>0</v>
      </c>
      <c r="L240" t="s">
        <v>73</v>
      </c>
      <c r="M240" t="s">
        <v>73</v>
      </c>
      <c r="N240" t="s">
        <v>73</v>
      </c>
      <c r="O240">
        <v>0</v>
      </c>
      <c r="P240">
        <v>0</v>
      </c>
      <c r="Q240">
        <v>0</v>
      </c>
      <c r="R240" t="s">
        <v>78</v>
      </c>
      <c r="S240">
        <v>0</v>
      </c>
      <c r="T240">
        <v>0</v>
      </c>
      <c r="U240" t="s">
        <v>73</v>
      </c>
      <c r="V240">
        <v>0</v>
      </c>
      <c r="W240">
        <v>0</v>
      </c>
      <c r="X240">
        <v>0</v>
      </c>
      <c r="Y240">
        <v>0</v>
      </c>
      <c r="Z240">
        <v>0</v>
      </c>
      <c r="AA240" t="s">
        <v>81</v>
      </c>
    </row>
    <row r="241" spans="7:27" x14ac:dyDescent="0.25">
      <c r="G241" s="18">
        <v>8</v>
      </c>
      <c r="H241">
        <v>0</v>
      </c>
      <c r="I241">
        <v>0</v>
      </c>
      <c r="J241">
        <v>0</v>
      </c>
      <c r="K241">
        <v>0</v>
      </c>
      <c r="L241" t="s">
        <v>73</v>
      </c>
      <c r="M241" t="s">
        <v>73</v>
      </c>
      <c r="N241">
        <v>0</v>
      </c>
      <c r="O241" t="s">
        <v>73</v>
      </c>
      <c r="P241">
        <v>0</v>
      </c>
      <c r="Q241">
        <v>0</v>
      </c>
      <c r="R241" t="s">
        <v>83</v>
      </c>
      <c r="S241">
        <v>0</v>
      </c>
      <c r="T241">
        <v>0</v>
      </c>
      <c r="U241">
        <v>0</v>
      </c>
      <c r="V241">
        <v>0</v>
      </c>
      <c r="W241" t="s">
        <v>84</v>
      </c>
      <c r="X241" t="s">
        <v>81</v>
      </c>
      <c r="Y241" t="s">
        <v>75</v>
      </c>
      <c r="Z241">
        <v>0</v>
      </c>
      <c r="AA241">
        <v>0</v>
      </c>
    </row>
    <row r="242" spans="7:27" x14ac:dyDescent="0.25">
      <c r="G242" s="18">
        <v>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 t="s">
        <v>73</v>
      </c>
      <c r="Q242">
        <v>0</v>
      </c>
      <c r="R242">
        <v>0</v>
      </c>
      <c r="S242">
        <v>0</v>
      </c>
      <c r="T242">
        <v>0</v>
      </c>
      <c r="U242">
        <v>0</v>
      </c>
      <c r="V242" t="s">
        <v>85</v>
      </c>
      <c r="W242">
        <v>0</v>
      </c>
      <c r="X242" t="s">
        <v>80</v>
      </c>
      <c r="Y242">
        <v>0</v>
      </c>
      <c r="Z242">
        <v>0</v>
      </c>
      <c r="AA242" t="s">
        <v>85</v>
      </c>
    </row>
    <row r="243" spans="7:27" x14ac:dyDescent="0.25">
      <c r="G243" s="18">
        <v>10</v>
      </c>
      <c r="H243">
        <v>0</v>
      </c>
      <c r="I243">
        <v>0</v>
      </c>
      <c r="J243">
        <v>0</v>
      </c>
      <c r="K243" t="s">
        <v>75</v>
      </c>
      <c r="L243" t="s">
        <v>75</v>
      </c>
      <c r="M243">
        <v>0</v>
      </c>
      <c r="N243">
        <v>0</v>
      </c>
      <c r="O243">
        <v>0</v>
      </c>
      <c r="P243">
        <v>0</v>
      </c>
      <c r="Q243" t="s">
        <v>73</v>
      </c>
      <c r="R243">
        <v>0</v>
      </c>
      <c r="S243">
        <v>0</v>
      </c>
      <c r="T243" t="s">
        <v>75</v>
      </c>
      <c r="U243">
        <v>0</v>
      </c>
      <c r="V243" t="s">
        <v>74</v>
      </c>
      <c r="W243">
        <v>0</v>
      </c>
      <c r="X243">
        <v>0</v>
      </c>
      <c r="Y243">
        <v>0</v>
      </c>
      <c r="Z243">
        <v>0</v>
      </c>
      <c r="AA243">
        <v>0</v>
      </c>
    </row>
    <row r="244" spans="7:27" x14ac:dyDescent="0.25">
      <c r="G244" s="18">
        <v>11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 t="s">
        <v>78</v>
      </c>
      <c r="O244" t="s">
        <v>83</v>
      </c>
      <c r="P244">
        <v>0</v>
      </c>
      <c r="Q244">
        <v>0</v>
      </c>
      <c r="R244" t="s">
        <v>73</v>
      </c>
      <c r="S244">
        <v>0</v>
      </c>
      <c r="T244">
        <v>0</v>
      </c>
      <c r="U244" t="s">
        <v>73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</row>
    <row r="245" spans="7:27" x14ac:dyDescent="0.25">
      <c r="G245" s="18">
        <v>12</v>
      </c>
      <c r="H245" t="s">
        <v>75</v>
      </c>
      <c r="I245" t="s">
        <v>77</v>
      </c>
      <c r="J245" t="s">
        <v>75</v>
      </c>
      <c r="K245">
        <v>0</v>
      </c>
      <c r="L245" t="s">
        <v>80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 t="s">
        <v>73</v>
      </c>
      <c r="T245">
        <v>0</v>
      </c>
      <c r="U245">
        <v>0</v>
      </c>
      <c r="V245">
        <v>0</v>
      </c>
      <c r="W245">
        <v>0</v>
      </c>
      <c r="X245" t="s">
        <v>78</v>
      </c>
      <c r="Y245">
        <v>0</v>
      </c>
      <c r="Z245">
        <v>0</v>
      </c>
      <c r="AA245">
        <v>0</v>
      </c>
    </row>
    <row r="246" spans="7:27" x14ac:dyDescent="0.25">
      <c r="G246" s="18">
        <v>13</v>
      </c>
      <c r="H246" t="s">
        <v>73</v>
      </c>
      <c r="I246">
        <v>0</v>
      </c>
      <c r="J246">
        <v>0</v>
      </c>
      <c r="K246">
        <v>0</v>
      </c>
      <c r="L246" t="s">
        <v>80</v>
      </c>
      <c r="M246">
        <v>0</v>
      </c>
      <c r="N246">
        <v>0</v>
      </c>
      <c r="O246">
        <v>0</v>
      </c>
      <c r="P246">
        <v>0</v>
      </c>
      <c r="Q246" t="s">
        <v>75</v>
      </c>
      <c r="R246">
        <v>0</v>
      </c>
      <c r="S246">
        <v>0</v>
      </c>
      <c r="T246" t="s">
        <v>73</v>
      </c>
      <c r="U246">
        <v>0</v>
      </c>
      <c r="V246" t="s">
        <v>74</v>
      </c>
      <c r="W246">
        <v>0</v>
      </c>
      <c r="X246">
        <v>0</v>
      </c>
      <c r="Y246" t="s">
        <v>81</v>
      </c>
      <c r="Z246">
        <v>0</v>
      </c>
      <c r="AA246" t="s">
        <v>81</v>
      </c>
    </row>
    <row r="247" spans="7:27" x14ac:dyDescent="0.25">
      <c r="G247" s="18">
        <v>14</v>
      </c>
      <c r="H247">
        <v>0</v>
      </c>
      <c r="I247" t="s">
        <v>73</v>
      </c>
      <c r="J247" t="s">
        <v>78</v>
      </c>
      <c r="K247">
        <v>0</v>
      </c>
      <c r="L247" t="s">
        <v>73</v>
      </c>
      <c r="M247">
        <v>0</v>
      </c>
      <c r="N247" t="s">
        <v>73</v>
      </c>
      <c r="O247">
        <v>0</v>
      </c>
      <c r="P247">
        <v>0</v>
      </c>
      <c r="Q247">
        <v>0</v>
      </c>
      <c r="R247" t="s">
        <v>73</v>
      </c>
      <c r="S247">
        <v>0</v>
      </c>
      <c r="T247">
        <v>0</v>
      </c>
      <c r="U247" t="s">
        <v>73</v>
      </c>
      <c r="V247">
        <v>0</v>
      </c>
      <c r="W247">
        <v>0</v>
      </c>
      <c r="X247" t="s">
        <v>73</v>
      </c>
      <c r="Y247" t="s">
        <v>73</v>
      </c>
      <c r="Z247">
        <v>0</v>
      </c>
      <c r="AA247">
        <v>0</v>
      </c>
    </row>
    <row r="248" spans="7:27" x14ac:dyDescent="0.25">
      <c r="G248" s="18">
        <v>15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 t="s">
        <v>85</v>
      </c>
      <c r="Q248" t="s">
        <v>74</v>
      </c>
      <c r="R248">
        <v>0</v>
      </c>
      <c r="S248">
        <v>0</v>
      </c>
      <c r="T248" t="s">
        <v>74</v>
      </c>
      <c r="U248">
        <v>0</v>
      </c>
      <c r="V248" t="s">
        <v>73</v>
      </c>
      <c r="W248" t="s">
        <v>86</v>
      </c>
      <c r="X248">
        <v>0</v>
      </c>
      <c r="Y248">
        <v>0</v>
      </c>
      <c r="Z248" t="s">
        <v>84</v>
      </c>
      <c r="AA248">
        <v>0</v>
      </c>
    </row>
    <row r="249" spans="7:27" x14ac:dyDescent="0.25">
      <c r="G249" s="18">
        <v>16</v>
      </c>
      <c r="H249">
        <v>0</v>
      </c>
      <c r="I249">
        <v>0</v>
      </c>
      <c r="J249" t="s">
        <v>79</v>
      </c>
      <c r="K249">
        <v>0</v>
      </c>
      <c r="L249">
        <v>0</v>
      </c>
      <c r="M249">
        <v>0</v>
      </c>
      <c r="N249">
        <v>0</v>
      </c>
      <c r="O249" t="s">
        <v>84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 t="s">
        <v>86</v>
      </c>
      <c r="W249" t="s">
        <v>73</v>
      </c>
      <c r="X249">
        <v>0</v>
      </c>
      <c r="Y249">
        <v>0</v>
      </c>
      <c r="Z249">
        <v>0</v>
      </c>
      <c r="AA249">
        <v>0</v>
      </c>
    </row>
    <row r="250" spans="7:27" x14ac:dyDescent="0.25">
      <c r="G250" s="18">
        <v>17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 t="s">
        <v>81</v>
      </c>
      <c r="P250" t="s">
        <v>80</v>
      </c>
      <c r="Q250">
        <v>0</v>
      </c>
      <c r="R250">
        <v>0</v>
      </c>
      <c r="S250" t="s">
        <v>78</v>
      </c>
      <c r="T250">
        <v>0</v>
      </c>
      <c r="U250" t="s">
        <v>73</v>
      </c>
      <c r="V250">
        <v>0</v>
      </c>
      <c r="W250">
        <v>0</v>
      </c>
      <c r="X250" t="s">
        <v>73</v>
      </c>
      <c r="Y250">
        <v>0</v>
      </c>
      <c r="Z250">
        <v>0</v>
      </c>
      <c r="AA250">
        <v>0</v>
      </c>
    </row>
    <row r="251" spans="7:27" x14ac:dyDescent="0.25">
      <c r="G251" s="18">
        <v>18</v>
      </c>
      <c r="H251">
        <v>0</v>
      </c>
      <c r="I251" t="s">
        <v>73</v>
      </c>
      <c r="J251" t="s">
        <v>75</v>
      </c>
      <c r="K251">
        <v>0</v>
      </c>
      <c r="L251" t="s">
        <v>81</v>
      </c>
      <c r="M251">
        <v>0</v>
      </c>
      <c r="N251">
        <v>0</v>
      </c>
      <c r="O251" t="s">
        <v>75</v>
      </c>
      <c r="P251">
        <v>0</v>
      </c>
      <c r="Q251">
        <v>0</v>
      </c>
      <c r="R251">
        <v>0</v>
      </c>
      <c r="S251">
        <v>0</v>
      </c>
      <c r="T251" t="s">
        <v>81</v>
      </c>
      <c r="U251" t="s">
        <v>73</v>
      </c>
      <c r="V251">
        <v>0</v>
      </c>
      <c r="W251">
        <v>0</v>
      </c>
      <c r="X251">
        <v>0</v>
      </c>
      <c r="Y251" t="s">
        <v>73</v>
      </c>
      <c r="Z251">
        <v>0</v>
      </c>
      <c r="AA251">
        <v>0</v>
      </c>
    </row>
    <row r="252" spans="7:27" x14ac:dyDescent="0.25">
      <c r="G252" s="18">
        <v>19</v>
      </c>
      <c r="H252">
        <v>0</v>
      </c>
      <c r="I252">
        <v>0</v>
      </c>
      <c r="J252">
        <v>0</v>
      </c>
      <c r="K252">
        <v>0</v>
      </c>
      <c r="L252">
        <v>0</v>
      </c>
      <c r="M252" t="s">
        <v>82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 t="s">
        <v>84</v>
      </c>
      <c r="W252">
        <v>0</v>
      </c>
      <c r="X252">
        <v>0</v>
      </c>
      <c r="Y252">
        <v>0</v>
      </c>
      <c r="Z252" t="s">
        <v>73</v>
      </c>
      <c r="AA252">
        <v>0</v>
      </c>
    </row>
    <row r="253" spans="7:27" ht="15.75" thickBot="1" x14ac:dyDescent="0.3">
      <c r="G253" s="19">
        <v>20</v>
      </c>
      <c r="H253">
        <v>0</v>
      </c>
      <c r="I253">
        <v>0</v>
      </c>
      <c r="J253">
        <v>0</v>
      </c>
      <c r="K253" t="s">
        <v>78</v>
      </c>
      <c r="L253">
        <v>0</v>
      </c>
      <c r="M253">
        <v>0</v>
      </c>
      <c r="N253" t="s">
        <v>81</v>
      </c>
      <c r="O253">
        <v>0</v>
      </c>
      <c r="P253" t="s">
        <v>85</v>
      </c>
      <c r="Q253">
        <v>0</v>
      </c>
      <c r="R253">
        <v>0</v>
      </c>
      <c r="S253">
        <v>0</v>
      </c>
      <c r="T253" t="s">
        <v>81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 t="s">
        <v>75</v>
      </c>
    </row>
    <row r="257" spans="7:27" ht="15.75" thickBot="1" x14ac:dyDescent="0.3">
      <c r="H257" t="s">
        <v>34</v>
      </c>
    </row>
    <row r="258" spans="7:27" ht="15.75" thickBot="1" x14ac:dyDescent="0.3">
      <c r="H258" s="16">
        <v>1</v>
      </c>
      <c r="I258" s="20">
        <v>2</v>
      </c>
      <c r="J258" s="21">
        <v>3</v>
      </c>
      <c r="K258" s="21">
        <v>4</v>
      </c>
      <c r="L258" s="21">
        <v>5</v>
      </c>
      <c r="M258" s="21">
        <v>6</v>
      </c>
      <c r="N258" s="21">
        <v>7</v>
      </c>
      <c r="O258" s="21">
        <v>8</v>
      </c>
      <c r="P258" s="21">
        <v>9</v>
      </c>
      <c r="Q258" s="21">
        <v>10</v>
      </c>
      <c r="R258" s="21">
        <v>11</v>
      </c>
      <c r="S258" s="21">
        <v>12</v>
      </c>
      <c r="T258" s="21">
        <v>13</v>
      </c>
      <c r="U258" s="21">
        <v>14</v>
      </c>
      <c r="V258" s="21">
        <v>15</v>
      </c>
      <c r="W258" s="21">
        <v>16</v>
      </c>
      <c r="X258" s="21">
        <v>17</v>
      </c>
      <c r="Y258" s="21">
        <v>18</v>
      </c>
      <c r="Z258" s="21">
        <v>19</v>
      </c>
      <c r="AA258" s="22">
        <v>20</v>
      </c>
    </row>
    <row r="259" spans="7:27" x14ac:dyDescent="0.25">
      <c r="G259" s="23">
        <v>1</v>
      </c>
      <c r="H259" t="s">
        <v>73</v>
      </c>
      <c r="I259" t="s">
        <v>87</v>
      </c>
      <c r="J259" t="s">
        <v>74</v>
      </c>
      <c r="K259" t="s">
        <v>88</v>
      </c>
      <c r="L259" t="s">
        <v>89</v>
      </c>
      <c r="M259" t="s">
        <v>73</v>
      </c>
      <c r="N259" t="s">
        <v>90</v>
      </c>
      <c r="O259" t="s">
        <v>91</v>
      </c>
      <c r="P259" t="s">
        <v>92</v>
      </c>
      <c r="Q259" t="s">
        <v>93</v>
      </c>
      <c r="R259" t="s">
        <v>94</v>
      </c>
      <c r="S259" t="s">
        <v>75</v>
      </c>
      <c r="T259" t="s">
        <v>73</v>
      </c>
      <c r="U259" t="s">
        <v>88</v>
      </c>
      <c r="V259" t="s">
        <v>95</v>
      </c>
      <c r="W259" t="s">
        <v>96</v>
      </c>
      <c r="X259" t="s">
        <v>97</v>
      </c>
      <c r="Y259" t="s">
        <v>98</v>
      </c>
      <c r="Z259" t="s">
        <v>99</v>
      </c>
      <c r="AA259" t="s">
        <v>100</v>
      </c>
    </row>
    <row r="260" spans="7:27" x14ac:dyDescent="0.25">
      <c r="G260" s="17">
        <v>2</v>
      </c>
      <c r="H260" t="s">
        <v>87</v>
      </c>
      <c r="I260" t="s">
        <v>73</v>
      </c>
      <c r="J260" t="s">
        <v>87</v>
      </c>
      <c r="K260" t="s">
        <v>101</v>
      </c>
      <c r="L260" t="s">
        <v>102</v>
      </c>
      <c r="M260" t="s">
        <v>76</v>
      </c>
      <c r="N260" t="s">
        <v>103</v>
      </c>
      <c r="O260" t="s">
        <v>104</v>
      </c>
      <c r="P260" t="s">
        <v>105</v>
      </c>
      <c r="Q260" t="s">
        <v>106</v>
      </c>
      <c r="R260" t="s">
        <v>107</v>
      </c>
      <c r="S260" t="s">
        <v>77</v>
      </c>
      <c r="T260" t="s">
        <v>106</v>
      </c>
      <c r="U260" t="s">
        <v>73</v>
      </c>
      <c r="V260" t="s">
        <v>108</v>
      </c>
      <c r="W260" t="s">
        <v>109</v>
      </c>
      <c r="X260" t="s">
        <v>110</v>
      </c>
      <c r="Y260" t="s">
        <v>73</v>
      </c>
      <c r="Z260" t="s">
        <v>111</v>
      </c>
      <c r="AA260" t="s">
        <v>112</v>
      </c>
    </row>
    <row r="261" spans="7:27" x14ac:dyDescent="0.25">
      <c r="G261" s="18">
        <v>3</v>
      </c>
      <c r="H261" t="s">
        <v>74</v>
      </c>
      <c r="I261" t="s">
        <v>87</v>
      </c>
      <c r="J261" t="s">
        <v>73</v>
      </c>
      <c r="K261" t="s">
        <v>78</v>
      </c>
      <c r="L261" t="s">
        <v>113</v>
      </c>
      <c r="M261" t="s">
        <v>114</v>
      </c>
      <c r="N261" t="s">
        <v>115</v>
      </c>
      <c r="O261" t="s">
        <v>116</v>
      </c>
      <c r="P261" t="s">
        <v>117</v>
      </c>
      <c r="Q261" t="s">
        <v>95</v>
      </c>
      <c r="R261" t="s">
        <v>118</v>
      </c>
      <c r="S261" t="s">
        <v>75</v>
      </c>
      <c r="T261" t="s">
        <v>95</v>
      </c>
      <c r="U261" t="s">
        <v>78</v>
      </c>
      <c r="V261" t="s">
        <v>119</v>
      </c>
      <c r="W261" t="s">
        <v>79</v>
      </c>
      <c r="X261" t="s">
        <v>120</v>
      </c>
      <c r="Y261" t="s">
        <v>75</v>
      </c>
      <c r="Z261" t="s">
        <v>121</v>
      </c>
      <c r="AA261" t="s">
        <v>122</v>
      </c>
    </row>
    <row r="262" spans="7:27" x14ac:dyDescent="0.25">
      <c r="G262" s="18">
        <v>4</v>
      </c>
      <c r="H262" t="s">
        <v>88</v>
      </c>
      <c r="I262" t="s">
        <v>101</v>
      </c>
      <c r="J262" t="s">
        <v>78</v>
      </c>
      <c r="K262" t="s">
        <v>73</v>
      </c>
      <c r="L262" t="s">
        <v>123</v>
      </c>
      <c r="M262" t="s">
        <v>124</v>
      </c>
      <c r="N262" t="s">
        <v>125</v>
      </c>
      <c r="O262" t="s">
        <v>126</v>
      </c>
      <c r="P262" t="s">
        <v>127</v>
      </c>
      <c r="Q262" t="s">
        <v>75</v>
      </c>
      <c r="R262" t="s">
        <v>115</v>
      </c>
      <c r="S262" t="s">
        <v>97</v>
      </c>
      <c r="T262" t="s">
        <v>125</v>
      </c>
      <c r="U262" t="s">
        <v>122</v>
      </c>
      <c r="V262" t="s">
        <v>128</v>
      </c>
      <c r="W262" t="s">
        <v>129</v>
      </c>
      <c r="X262" t="s">
        <v>130</v>
      </c>
      <c r="Y262" t="s">
        <v>97</v>
      </c>
      <c r="Z262" t="s">
        <v>131</v>
      </c>
      <c r="AA262" t="s">
        <v>78</v>
      </c>
    </row>
    <row r="263" spans="7:27" x14ac:dyDescent="0.25">
      <c r="G263" s="18">
        <v>5</v>
      </c>
      <c r="H263" t="s">
        <v>89</v>
      </c>
      <c r="I263" t="s">
        <v>102</v>
      </c>
      <c r="J263" t="s">
        <v>113</v>
      </c>
      <c r="K263" t="s">
        <v>123</v>
      </c>
      <c r="L263" t="s">
        <v>73</v>
      </c>
      <c r="M263" t="s">
        <v>132</v>
      </c>
      <c r="N263" t="s">
        <v>73</v>
      </c>
      <c r="O263" t="s">
        <v>73</v>
      </c>
      <c r="P263" t="s">
        <v>133</v>
      </c>
      <c r="Q263" t="s">
        <v>75</v>
      </c>
      <c r="R263" t="s">
        <v>134</v>
      </c>
      <c r="S263" t="s">
        <v>80</v>
      </c>
      <c r="T263" t="s">
        <v>80</v>
      </c>
      <c r="U263" t="s">
        <v>73</v>
      </c>
      <c r="V263" t="s">
        <v>135</v>
      </c>
      <c r="W263" t="s">
        <v>136</v>
      </c>
      <c r="X263" t="s">
        <v>137</v>
      </c>
      <c r="Y263" t="s">
        <v>81</v>
      </c>
      <c r="Z263" t="s">
        <v>138</v>
      </c>
      <c r="AA263" t="s">
        <v>139</v>
      </c>
    </row>
    <row r="264" spans="7:27" x14ac:dyDescent="0.25">
      <c r="G264" s="18">
        <v>6</v>
      </c>
      <c r="H264" t="s">
        <v>73</v>
      </c>
      <c r="I264" t="s">
        <v>76</v>
      </c>
      <c r="J264" t="s">
        <v>114</v>
      </c>
      <c r="K264" t="s">
        <v>124</v>
      </c>
      <c r="L264" t="s">
        <v>132</v>
      </c>
      <c r="M264" t="s">
        <v>73</v>
      </c>
      <c r="N264" t="s">
        <v>73</v>
      </c>
      <c r="O264" t="s">
        <v>73</v>
      </c>
      <c r="P264" t="s">
        <v>140</v>
      </c>
      <c r="Q264" t="s">
        <v>141</v>
      </c>
      <c r="R264" t="s">
        <v>134</v>
      </c>
      <c r="S264" t="s">
        <v>142</v>
      </c>
      <c r="T264" t="s">
        <v>141</v>
      </c>
      <c r="U264" t="s">
        <v>103</v>
      </c>
      <c r="V264" t="s">
        <v>143</v>
      </c>
      <c r="W264" t="s">
        <v>144</v>
      </c>
      <c r="X264" t="s">
        <v>145</v>
      </c>
      <c r="Y264" t="s">
        <v>103</v>
      </c>
      <c r="Z264" t="s">
        <v>82</v>
      </c>
      <c r="AA264" t="s">
        <v>146</v>
      </c>
    </row>
    <row r="265" spans="7:27" x14ac:dyDescent="0.25">
      <c r="G265" s="18">
        <v>7</v>
      </c>
      <c r="H265" t="s">
        <v>90</v>
      </c>
      <c r="I265" t="s">
        <v>103</v>
      </c>
      <c r="J265" t="s">
        <v>115</v>
      </c>
      <c r="K265" t="s">
        <v>125</v>
      </c>
      <c r="L265" t="s">
        <v>73</v>
      </c>
      <c r="M265" t="s">
        <v>73</v>
      </c>
      <c r="N265" t="s">
        <v>73</v>
      </c>
      <c r="O265" t="s">
        <v>147</v>
      </c>
      <c r="P265" t="s">
        <v>148</v>
      </c>
      <c r="Q265" t="s">
        <v>149</v>
      </c>
      <c r="R265" t="s">
        <v>78</v>
      </c>
      <c r="S265" t="s">
        <v>150</v>
      </c>
      <c r="T265" t="s">
        <v>151</v>
      </c>
      <c r="U265" t="s">
        <v>73</v>
      </c>
      <c r="V265" t="s">
        <v>152</v>
      </c>
      <c r="W265" t="s">
        <v>153</v>
      </c>
      <c r="X265" t="s">
        <v>154</v>
      </c>
      <c r="Y265" t="s">
        <v>155</v>
      </c>
      <c r="Z265" t="s">
        <v>99</v>
      </c>
      <c r="AA265" t="s">
        <v>81</v>
      </c>
    </row>
    <row r="266" spans="7:27" x14ac:dyDescent="0.25">
      <c r="G266" s="18">
        <v>8</v>
      </c>
      <c r="H266" t="s">
        <v>91</v>
      </c>
      <c r="I266" t="s">
        <v>104</v>
      </c>
      <c r="J266" t="s">
        <v>116</v>
      </c>
      <c r="K266" t="s">
        <v>126</v>
      </c>
      <c r="L266" t="s">
        <v>73</v>
      </c>
      <c r="M266" t="s">
        <v>73</v>
      </c>
      <c r="N266" t="s">
        <v>147</v>
      </c>
      <c r="O266" t="s">
        <v>73</v>
      </c>
      <c r="P266" t="s">
        <v>156</v>
      </c>
      <c r="Q266" t="s">
        <v>157</v>
      </c>
      <c r="R266" t="s">
        <v>83</v>
      </c>
      <c r="S266" t="s">
        <v>125</v>
      </c>
      <c r="T266" t="s">
        <v>157</v>
      </c>
      <c r="U266" t="s">
        <v>126</v>
      </c>
      <c r="V266" t="s">
        <v>158</v>
      </c>
      <c r="W266" t="s">
        <v>84</v>
      </c>
      <c r="X266" t="s">
        <v>81</v>
      </c>
      <c r="Y266" t="s">
        <v>75</v>
      </c>
      <c r="Z266" t="s">
        <v>99</v>
      </c>
      <c r="AA266" t="s">
        <v>159</v>
      </c>
    </row>
    <row r="267" spans="7:27" x14ac:dyDescent="0.25">
      <c r="G267" s="18">
        <v>9</v>
      </c>
      <c r="H267" t="s">
        <v>92</v>
      </c>
      <c r="I267" t="s">
        <v>105</v>
      </c>
      <c r="J267" t="s">
        <v>117</v>
      </c>
      <c r="K267" t="s">
        <v>127</v>
      </c>
      <c r="L267" t="s">
        <v>133</v>
      </c>
      <c r="M267" t="s">
        <v>140</v>
      </c>
      <c r="N267" t="s">
        <v>148</v>
      </c>
      <c r="O267" t="s">
        <v>156</v>
      </c>
      <c r="P267" t="s">
        <v>73</v>
      </c>
      <c r="Q267" t="s">
        <v>160</v>
      </c>
      <c r="R267" t="s">
        <v>161</v>
      </c>
      <c r="S267" t="s">
        <v>162</v>
      </c>
      <c r="T267" t="s">
        <v>160</v>
      </c>
      <c r="U267" t="s">
        <v>163</v>
      </c>
      <c r="V267" t="s">
        <v>85</v>
      </c>
      <c r="W267" t="s">
        <v>164</v>
      </c>
      <c r="X267" t="s">
        <v>80</v>
      </c>
      <c r="Y267" t="s">
        <v>165</v>
      </c>
      <c r="Z267" t="s">
        <v>166</v>
      </c>
      <c r="AA267" t="s">
        <v>85</v>
      </c>
    </row>
    <row r="268" spans="7:27" x14ac:dyDescent="0.25">
      <c r="G268" s="18">
        <v>10</v>
      </c>
      <c r="H268" t="s">
        <v>93</v>
      </c>
      <c r="I268" t="s">
        <v>106</v>
      </c>
      <c r="J268" t="s">
        <v>95</v>
      </c>
      <c r="K268" t="s">
        <v>75</v>
      </c>
      <c r="L268" t="s">
        <v>75</v>
      </c>
      <c r="M268" t="s">
        <v>141</v>
      </c>
      <c r="N268" t="s">
        <v>149</v>
      </c>
      <c r="O268" t="s">
        <v>157</v>
      </c>
      <c r="P268" t="s">
        <v>160</v>
      </c>
      <c r="Q268" t="s">
        <v>73</v>
      </c>
      <c r="R268" t="s">
        <v>167</v>
      </c>
      <c r="S268" t="s">
        <v>168</v>
      </c>
      <c r="T268" t="s">
        <v>75</v>
      </c>
      <c r="U268" t="s">
        <v>169</v>
      </c>
      <c r="V268" t="s">
        <v>74</v>
      </c>
      <c r="W268" t="s">
        <v>170</v>
      </c>
      <c r="X268" t="s">
        <v>133</v>
      </c>
      <c r="Y268" t="s">
        <v>171</v>
      </c>
      <c r="Z268" t="s">
        <v>172</v>
      </c>
      <c r="AA268" t="s">
        <v>173</v>
      </c>
    </row>
    <row r="269" spans="7:27" x14ac:dyDescent="0.25">
      <c r="G269" s="18">
        <v>11</v>
      </c>
      <c r="H269" t="s">
        <v>94</v>
      </c>
      <c r="I269" t="s">
        <v>107</v>
      </c>
      <c r="J269" t="s">
        <v>118</v>
      </c>
      <c r="K269" t="s">
        <v>115</v>
      </c>
      <c r="L269" t="s">
        <v>134</v>
      </c>
      <c r="M269" t="s">
        <v>134</v>
      </c>
      <c r="N269" t="s">
        <v>78</v>
      </c>
      <c r="O269" t="s">
        <v>83</v>
      </c>
      <c r="P269" t="s">
        <v>161</v>
      </c>
      <c r="Q269" t="s">
        <v>167</v>
      </c>
      <c r="R269" t="s">
        <v>73</v>
      </c>
      <c r="S269" t="s">
        <v>154</v>
      </c>
      <c r="T269" t="s">
        <v>167</v>
      </c>
      <c r="U269" t="s">
        <v>73</v>
      </c>
      <c r="V269" t="s">
        <v>174</v>
      </c>
      <c r="W269" t="s">
        <v>175</v>
      </c>
      <c r="X269" t="s">
        <v>176</v>
      </c>
      <c r="Y269" t="s">
        <v>177</v>
      </c>
      <c r="Z269" t="s">
        <v>178</v>
      </c>
      <c r="AA269" t="s">
        <v>179</v>
      </c>
    </row>
    <row r="270" spans="7:27" x14ac:dyDescent="0.25">
      <c r="G270" s="18">
        <v>12</v>
      </c>
      <c r="H270" t="s">
        <v>75</v>
      </c>
      <c r="I270" t="s">
        <v>77</v>
      </c>
      <c r="J270" t="s">
        <v>75</v>
      </c>
      <c r="K270" t="s">
        <v>97</v>
      </c>
      <c r="L270" t="s">
        <v>80</v>
      </c>
      <c r="M270" t="s">
        <v>142</v>
      </c>
      <c r="N270" t="s">
        <v>150</v>
      </c>
      <c r="O270" t="s">
        <v>125</v>
      </c>
      <c r="P270" t="s">
        <v>162</v>
      </c>
      <c r="Q270" t="s">
        <v>168</v>
      </c>
      <c r="R270" t="s">
        <v>154</v>
      </c>
      <c r="S270" t="s">
        <v>73</v>
      </c>
      <c r="T270" t="s">
        <v>168</v>
      </c>
      <c r="U270" t="s">
        <v>180</v>
      </c>
      <c r="V270" t="s">
        <v>181</v>
      </c>
      <c r="W270" t="s">
        <v>182</v>
      </c>
      <c r="X270" t="s">
        <v>78</v>
      </c>
      <c r="Y270" t="s">
        <v>139</v>
      </c>
      <c r="Z270" t="s">
        <v>183</v>
      </c>
      <c r="AA270" t="s">
        <v>184</v>
      </c>
    </row>
    <row r="271" spans="7:27" x14ac:dyDescent="0.25">
      <c r="G271" s="18">
        <v>13</v>
      </c>
      <c r="H271" t="s">
        <v>73</v>
      </c>
      <c r="I271" t="s">
        <v>106</v>
      </c>
      <c r="J271" t="s">
        <v>95</v>
      </c>
      <c r="K271" t="s">
        <v>125</v>
      </c>
      <c r="L271" t="s">
        <v>80</v>
      </c>
      <c r="M271" t="s">
        <v>141</v>
      </c>
      <c r="N271" t="s">
        <v>151</v>
      </c>
      <c r="O271" t="s">
        <v>157</v>
      </c>
      <c r="P271" t="s">
        <v>160</v>
      </c>
      <c r="Q271" t="s">
        <v>75</v>
      </c>
      <c r="R271" t="s">
        <v>167</v>
      </c>
      <c r="S271" t="s">
        <v>168</v>
      </c>
      <c r="T271" t="s">
        <v>73</v>
      </c>
      <c r="U271" t="s">
        <v>169</v>
      </c>
      <c r="V271" t="s">
        <v>74</v>
      </c>
      <c r="W271" t="s">
        <v>170</v>
      </c>
      <c r="X271" t="s">
        <v>133</v>
      </c>
      <c r="Y271" t="s">
        <v>81</v>
      </c>
      <c r="Z271" t="s">
        <v>172</v>
      </c>
      <c r="AA271" t="s">
        <v>81</v>
      </c>
    </row>
    <row r="272" spans="7:27" x14ac:dyDescent="0.25">
      <c r="G272" s="18">
        <v>14</v>
      </c>
      <c r="H272" t="s">
        <v>88</v>
      </c>
      <c r="I272" t="s">
        <v>73</v>
      </c>
      <c r="J272" t="s">
        <v>78</v>
      </c>
      <c r="K272" t="s">
        <v>122</v>
      </c>
      <c r="L272" t="s">
        <v>73</v>
      </c>
      <c r="M272" t="s">
        <v>103</v>
      </c>
      <c r="N272" t="s">
        <v>73</v>
      </c>
      <c r="O272" t="s">
        <v>126</v>
      </c>
      <c r="P272" t="s">
        <v>163</v>
      </c>
      <c r="Q272" t="s">
        <v>169</v>
      </c>
      <c r="R272" t="s">
        <v>73</v>
      </c>
      <c r="S272" t="s">
        <v>180</v>
      </c>
      <c r="T272" t="s">
        <v>169</v>
      </c>
      <c r="U272" t="s">
        <v>73</v>
      </c>
      <c r="V272" t="s">
        <v>185</v>
      </c>
      <c r="W272" t="s">
        <v>129</v>
      </c>
      <c r="X272" t="s">
        <v>73</v>
      </c>
      <c r="Y272" t="s">
        <v>73</v>
      </c>
      <c r="Z272" t="s">
        <v>186</v>
      </c>
      <c r="AA272" t="s">
        <v>187</v>
      </c>
    </row>
    <row r="273" spans="7:27" x14ac:dyDescent="0.25">
      <c r="G273" s="18">
        <v>15</v>
      </c>
      <c r="H273" t="s">
        <v>95</v>
      </c>
      <c r="I273" t="s">
        <v>108</v>
      </c>
      <c r="J273" t="s">
        <v>119</v>
      </c>
      <c r="K273" t="s">
        <v>128</v>
      </c>
      <c r="L273" t="s">
        <v>135</v>
      </c>
      <c r="M273" t="s">
        <v>143</v>
      </c>
      <c r="N273" t="s">
        <v>152</v>
      </c>
      <c r="O273" t="s">
        <v>158</v>
      </c>
      <c r="P273" t="s">
        <v>85</v>
      </c>
      <c r="Q273" t="s">
        <v>74</v>
      </c>
      <c r="R273" t="s">
        <v>174</v>
      </c>
      <c r="S273" t="s">
        <v>181</v>
      </c>
      <c r="T273" t="s">
        <v>74</v>
      </c>
      <c r="U273" t="s">
        <v>185</v>
      </c>
      <c r="V273" t="s">
        <v>73</v>
      </c>
      <c r="W273" t="s">
        <v>86</v>
      </c>
      <c r="X273" t="s">
        <v>188</v>
      </c>
      <c r="Y273" t="s">
        <v>189</v>
      </c>
      <c r="Z273" t="s">
        <v>84</v>
      </c>
      <c r="AA273" t="s">
        <v>190</v>
      </c>
    </row>
    <row r="274" spans="7:27" x14ac:dyDescent="0.25">
      <c r="G274" s="18">
        <v>16</v>
      </c>
      <c r="H274" t="s">
        <v>96</v>
      </c>
      <c r="I274" t="s">
        <v>109</v>
      </c>
      <c r="J274" t="s">
        <v>79</v>
      </c>
      <c r="K274" t="s">
        <v>129</v>
      </c>
      <c r="L274" t="s">
        <v>136</v>
      </c>
      <c r="M274" t="s">
        <v>144</v>
      </c>
      <c r="N274" t="s">
        <v>153</v>
      </c>
      <c r="O274" t="s">
        <v>84</v>
      </c>
      <c r="P274" t="s">
        <v>164</v>
      </c>
      <c r="Q274" t="s">
        <v>170</v>
      </c>
      <c r="R274" t="s">
        <v>175</v>
      </c>
      <c r="S274" t="s">
        <v>182</v>
      </c>
      <c r="T274" t="s">
        <v>170</v>
      </c>
      <c r="U274" t="s">
        <v>129</v>
      </c>
      <c r="V274" t="s">
        <v>86</v>
      </c>
      <c r="W274" t="s">
        <v>73</v>
      </c>
      <c r="X274" t="s">
        <v>191</v>
      </c>
      <c r="Y274" t="s">
        <v>182</v>
      </c>
      <c r="Z274" t="s">
        <v>158</v>
      </c>
      <c r="AA274" t="s">
        <v>192</v>
      </c>
    </row>
    <row r="275" spans="7:27" x14ac:dyDescent="0.25">
      <c r="G275" s="18">
        <v>17</v>
      </c>
      <c r="H275" t="s">
        <v>97</v>
      </c>
      <c r="I275" t="s">
        <v>110</v>
      </c>
      <c r="J275" t="s">
        <v>120</v>
      </c>
      <c r="K275" t="s">
        <v>130</v>
      </c>
      <c r="L275" t="s">
        <v>137</v>
      </c>
      <c r="M275" t="s">
        <v>145</v>
      </c>
      <c r="N275" t="s">
        <v>154</v>
      </c>
      <c r="O275" t="s">
        <v>81</v>
      </c>
      <c r="P275" t="s">
        <v>80</v>
      </c>
      <c r="Q275" t="s">
        <v>133</v>
      </c>
      <c r="R275" t="s">
        <v>176</v>
      </c>
      <c r="S275" t="s">
        <v>78</v>
      </c>
      <c r="T275" t="s">
        <v>133</v>
      </c>
      <c r="U275" t="s">
        <v>73</v>
      </c>
      <c r="V275" t="s">
        <v>188</v>
      </c>
      <c r="W275" t="s">
        <v>191</v>
      </c>
      <c r="X275" t="s">
        <v>73</v>
      </c>
      <c r="Y275" t="s">
        <v>193</v>
      </c>
      <c r="Z275" t="s">
        <v>194</v>
      </c>
      <c r="AA275" t="s">
        <v>188</v>
      </c>
    </row>
    <row r="276" spans="7:27" x14ac:dyDescent="0.25">
      <c r="G276" s="18">
        <v>18</v>
      </c>
      <c r="H276" t="s">
        <v>98</v>
      </c>
      <c r="I276" t="s">
        <v>73</v>
      </c>
      <c r="J276" t="s">
        <v>75</v>
      </c>
      <c r="K276" t="s">
        <v>97</v>
      </c>
      <c r="L276" t="s">
        <v>81</v>
      </c>
      <c r="M276" t="s">
        <v>103</v>
      </c>
      <c r="N276" t="s">
        <v>155</v>
      </c>
      <c r="O276" t="s">
        <v>75</v>
      </c>
      <c r="P276" t="s">
        <v>165</v>
      </c>
      <c r="Q276" t="s">
        <v>171</v>
      </c>
      <c r="R276" t="s">
        <v>177</v>
      </c>
      <c r="S276" t="s">
        <v>139</v>
      </c>
      <c r="T276" t="s">
        <v>81</v>
      </c>
      <c r="U276" t="s">
        <v>73</v>
      </c>
      <c r="V276" t="s">
        <v>189</v>
      </c>
      <c r="W276" t="s">
        <v>182</v>
      </c>
      <c r="X276" t="s">
        <v>193</v>
      </c>
      <c r="Y276" t="s">
        <v>73</v>
      </c>
      <c r="Z276" t="s">
        <v>186</v>
      </c>
      <c r="AA276" t="s">
        <v>151</v>
      </c>
    </row>
    <row r="277" spans="7:27" x14ac:dyDescent="0.25">
      <c r="G277" s="18">
        <v>19</v>
      </c>
      <c r="H277" t="s">
        <v>99</v>
      </c>
      <c r="I277" t="s">
        <v>111</v>
      </c>
      <c r="J277" t="s">
        <v>121</v>
      </c>
      <c r="K277" t="s">
        <v>131</v>
      </c>
      <c r="L277" t="s">
        <v>138</v>
      </c>
      <c r="M277" t="s">
        <v>82</v>
      </c>
      <c r="N277" t="s">
        <v>99</v>
      </c>
      <c r="O277" t="s">
        <v>99</v>
      </c>
      <c r="P277" t="s">
        <v>166</v>
      </c>
      <c r="Q277" t="s">
        <v>172</v>
      </c>
      <c r="R277" t="s">
        <v>178</v>
      </c>
      <c r="S277" t="s">
        <v>183</v>
      </c>
      <c r="T277" t="s">
        <v>172</v>
      </c>
      <c r="U277" t="s">
        <v>186</v>
      </c>
      <c r="V277" t="s">
        <v>84</v>
      </c>
      <c r="W277" t="s">
        <v>158</v>
      </c>
      <c r="X277" t="s">
        <v>194</v>
      </c>
      <c r="Y277" t="s">
        <v>186</v>
      </c>
      <c r="Z277" t="s">
        <v>73</v>
      </c>
      <c r="AA277" t="s">
        <v>195</v>
      </c>
    </row>
    <row r="278" spans="7:27" ht="15.75" thickBot="1" x14ac:dyDescent="0.3">
      <c r="G278" s="19">
        <v>20</v>
      </c>
      <c r="H278" t="s">
        <v>100</v>
      </c>
      <c r="I278" t="s">
        <v>112</v>
      </c>
      <c r="J278" t="s">
        <v>122</v>
      </c>
      <c r="K278" t="s">
        <v>78</v>
      </c>
      <c r="L278" t="s">
        <v>139</v>
      </c>
      <c r="M278" t="s">
        <v>146</v>
      </c>
      <c r="N278" t="s">
        <v>81</v>
      </c>
      <c r="O278" t="s">
        <v>159</v>
      </c>
      <c r="P278" t="s">
        <v>85</v>
      </c>
      <c r="Q278" t="s">
        <v>173</v>
      </c>
      <c r="R278" t="s">
        <v>179</v>
      </c>
      <c r="S278" t="s">
        <v>184</v>
      </c>
      <c r="T278" t="s">
        <v>81</v>
      </c>
      <c r="U278" t="s">
        <v>187</v>
      </c>
      <c r="V278" t="s">
        <v>190</v>
      </c>
      <c r="W278" t="s">
        <v>192</v>
      </c>
      <c r="X278" t="s">
        <v>188</v>
      </c>
      <c r="Y278" t="s">
        <v>151</v>
      </c>
      <c r="Z278" t="s">
        <v>195</v>
      </c>
      <c r="AA278" t="s">
        <v>75</v>
      </c>
    </row>
    <row r="283" spans="7:27" ht="15.75" thickBot="1" x14ac:dyDescent="0.3">
      <c r="H283" t="s">
        <v>35</v>
      </c>
    </row>
    <row r="284" spans="7:27" ht="15.75" thickBot="1" x14ac:dyDescent="0.3">
      <c r="H284" s="16">
        <v>1</v>
      </c>
      <c r="I284" s="20">
        <v>2</v>
      </c>
      <c r="J284" s="21">
        <v>3</v>
      </c>
      <c r="K284" s="21">
        <v>4</v>
      </c>
      <c r="L284" s="21">
        <v>5</v>
      </c>
      <c r="M284" s="21">
        <v>6</v>
      </c>
      <c r="N284" s="21">
        <v>7</v>
      </c>
      <c r="O284" s="21">
        <v>8</v>
      </c>
      <c r="P284" s="21">
        <v>9</v>
      </c>
      <c r="Q284" s="21">
        <v>10</v>
      </c>
      <c r="R284" s="21">
        <v>11</v>
      </c>
      <c r="S284" s="21">
        <v>12</v>
      </c>
      <c r="T284" s="21">
        <v>13</v>
      </c>
      <c r="U284" s="21">
        <v>14</v>
      </c>
      <c r="V284" s="21">
        <v>15</v>
      </c>
      <c r="W284" s="21">
        <v>16</v>
      </c>
      <c r="X284" s="21">
        <v>17</v>
      </c>
      <c r="Y284" s="21">
        <v>18</v>
      </c>
      <c r="Z284" s="21">
        <v>19</v>
      </c>
      <c r="AA284" s="22">
        <v>20</v>
      </c>
    </row>
    <row r="285" spans="7:27" x14ac:dyDescent="0.25">
      <c r="G285" s="23">
        <v>1</v>
      </c>
      <c r="H285" t="s">
        <v>36</v>
      </c>
      <c r="I285">
        <v>0</v>
      </c>
      <c r="J285" t="s">
        <v>37</v>
      </c>
      <c r="K285">
        <v>0</v>
      </c>
      <c r="L285">
        <v>0</v>
      </c>
      <c r="M285" t="s">
        <v>38</v>
      </c>
      <c r="N285">
        <v>0</v>
      </c>
      <c r="O285">
        <v>0</v>
      </c>
      <c r="P285">
        <v>0</v>
      </c>
      <c r="Q285">
        <v>0</v>
      </c>
      <c r="R285">
        <v>0</v>
      </c>
      <c r="S285" t="s">
        <v>39</v>
      </c>
      <c r="T285" t="s">
        <v>36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</row>
    <row r="286" spans="7:27" x14ac:dyDescent="0.25">
      <c r="G286" s="17">
        <v>2</v>
      </c>
      <c r="H286">
        <v>0</v>
      </c>
      <c r="I286" t="s">
        <v>36</v>
      </c>
      <c r="J286">
        <v>0</v>
      </c>
      <c r="K286">
        <v>0</v>
      </c>
      <c r="L286">
        <v>0</v>
      </c>
      <c r="M286" t="s">
        <v>40</v>
      </c>
      <c r="N286">
        <v>0</v>
      </c>
      <c r="O286">
        <v>0</v>
      </c>
      <c r="P286">
        <v>0</v>
      </c>
      <c r="Q286">
        <v>0</v>
      </c>
      <c r="R286">
        <v>0</v>
      </c>
      <c r="S286" t="s">
        <v>41</v>
      </c>
      <c r="T286">
        <v>0</v>
      </c>
      <c r="U286" t="s">
        <v>42</v>
      </c>
      <c r="V286">
        <v>0</v>
      </c>
      <c r="W286">
        <v>0</v>
      </c>
      <c r="X286">
        <v>0</v>
      </c>
      <c r="Y286" t="s">
        <v>43</v>
      </c>
      <c r="Z286">
        <v>0</v>
      </c>
      <c r="AA286">
        <v>0</v>
      </c>
    </row>
    <row r="287" spans="7:27" x14ac:dyDescent="0.25">
      <c r="G287" s="18">
        <v>3</v>
      </c>
      <c r="H287" t="s">
        <v>37</v>
      </c>
      <c r="I287">
        <v>0</v>
      </c>
      <c r="J287" t="s">
        <v>36</v>
      </c>
      <c r="K287" t="s">
        <v>44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 t="s">
        <v>45</v>
      </c>
      <c r="T287">
        <v>0</v>
      </c>
      <c r="U287" t="s">
        <v>46</v>
      </c>
      <c r="V287">
        <v>0</v>
      </c>
      <c r="W287" t="s">
        <v>47</v>
      </c>
      <c r="X287">
        <v>0</v>
      </c>
      <c r="Y287" t="s">
        <v>48</v>
      </c>
      <c r="Z287">
        <v>0</v>
      </c>
      <c r="AA287">
        <v>0</v>
      </c>
    </row>
    <row r="288" spans="7:27" x14ac:dyDescent="0.25">
      <c r="G288" s="18">
        <v>4</v>
      </c>
      <c r="H288">
        <v>0</v>
      </c>
      <c r="I288">
        <v>0</v>
      </c>
      <c r="J288" t="s">
        <v>44</v>
      </c>
      <c r="K288" t="s">
        <v>36</v>
      </c>
      <c r="L288">
        <v>0</v>
      </c>
      <c r="M288">
        <v>0</v>
      </c>
      <c r="N288">
        <v>0</v>
      </c>
      <c r="O288">
        <v>0</v>
      </c>
      <c r="P288">
        <v>0</v>
      </c>
      <c r="Q288" t="s">
        <v>49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 t="s">
        <v>50</v>
      </c>
    </row>
    <row r="289" spans="7:27" x14ac:dyDescent="0.25">
      <c r="G289" s="18">
        <v>5</v>
      </c>
      <c r="H289">
        <v>0</v>
      </c>
      <c r="I289">
        <v>0</v>
      </c>
      <c r="J289">
        <v>0</v>
      </c>
      <c r="K289">
        <v>0</v>
      </c>
      <c r="L289" t="s">
        <v>36</v>
      </c>
      <c r="M289">
        <v>0</v>
      </c>
      <c r="N289" t="s">
        <v>36</v>
      </c>
      <c r="O289" t="s">
        <v>51</v>
      </c>
      <c r="P289">
        <v>0</v>
      </c>
      <c r="Q289" t="s">
        <v>49</v>
      </c>
      <c r="R289">
        <v>0</v>
      </c>
      <c r="S289" t="s">
        <v>52</v>
      </c>
      <c r="T289" t="s">
        <v>53</v>
      </c>
      <c r="U289" t="s">
        <v>36</v>
      </c>
      <c r="V289">
        <v>0</v>
      </c>
      <c r="W289">
        <v>0</v>
      </c>
      <c r="X289">
        <v>0</v>
      </c>
      <c r="Y289" t="s">
        <v>54</v>
      </c>
      <c r="Z289">
        <v>0</v>
      </c>
      <c r="AA289">
        <v>0</v>
      </c>
    </row>
    <row r="290" spans="7:27" x14ac:dyDescent="0.25">
      <c r="G290" s="18">
        <v>6</v>
      </c>
      <c r="H290" t="s">
        <v>38</v>
      </c>
      <c r="I290" t="s">
        <v>40</v>
      </c>
      <c r="J290">
        <v>0</v>
      </c>
      <c r="K290">
        <v>0</v>
      </c>
      <c r="L290">
        <v>0</v>
      </c>
      <c r="M290" t="s">
        <v>36</v>
      </c>
      <c r="N290" t="s">
        <v>42</v>
      </c>
      <c r="O290" t="s">
        <v>55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 t="s">
        <v>54</v>
      </c>
      <c r="AA290">
        <v>0</v>
      </c>
    </row>
    <row r="291" spans="7:27" x14ac:dyDescent="0.25">
      <c r="G291" s="18">
        <v>7</v>
      </c>
      <c r="H291">
        <v>0</v>
      </c>
      <c r="I291">
        <v>0</v>
      </c>
      <c r="J291">
        <v>0</v>
      </c>
      <c r="K291">
        <v>0</v>
      </c>
      <c r="L291" t="s">
        <v>36</v>
      </c>
      <c r="M291" t="s">
        <v>42</v>
      </c>
      <c r="N291" t="s">
        <v>36</v>
      </c>
      <c r="O291">
        <v>0</v>
      </c>
      <c r="P291">
        <v>0</v>
      </c>
      <c r="Q291">
        <v>0</v>
      </c>
      <c r="R291" t="s">
        <v>56</v>
      </c>
      <c r="S291">
        <v>0</v>
      </c>
      <c r="T291">
        <v>0</v>
      </c>
      <c r="U291" t="s">
        <v>36</v>
      </c>
      <c r="V291">
        <v>0</v>
      </c>
      <c r="W291">
        <v>0</v>
      </c>
      <c r="X291">
        <v>0</v>
      </c>
      <c r="Y291">
        <v>0</v>
      </c>
      <c r="Z291">
        <v>0</v>
      </c>
      <c r="AA291" t="s">
        <v>57</v>
      </c>
    </row>
    <row r="292" spans="7:27" x14ac:dyDescent="0.25">
      <c r="G292" s="18">
        <v>8</v>
      </c>
      <c r="H292">
        <v>0</v>
      </c>
      <c r="I292">
        <v>0</v>
      </c>
      <c r="J292">
        <v>0</v>
      </c>
      <c r="K292">
        <v>0</v>
      </c>
      <c r="L292" t="s">
        <v>51</v>
      </c>
      <c r="M292" t="s">
        <v>55</v>
      </c>
      <c r="N292">
        <v>0</v>
      </c>
      <c r="O292" t="s">
        <v>36</v>
      </c>
      <c r="P292">
        <v>0</v>
      </c>
      <c r="Q292">
        <v>0</v>
      </c>
      <c r="R292" t="s">
        <v>58</v>
      </c>
      <c r="S292">
        <v>0</v>
      </c>
      <c r="T292">
        <v>0</v>
      </c>
      <c r="U292">
        <v>0</v>
      </c>
      <c r="V292">
        <v>0</v>
      </c>
      <c r="W292" t="s">
        <v>59</v>
      </c>
      <c r="X292" t="s">
        <v>60</v>
      </c>
      <c r="Y292" t="s">
        <v>61</v>
      </c>
      <c r="Z292">
        <v>0</v>
      </c>
      <c r="AA292">
        <v>0</v>
      </c>
    </row>
    <row r="293" spans="7:27" x14ac:dyDescent="0.25">
      <c r="G293" s="18">
        <v>9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 t="s">
        <v>36</v>
      </c>
      <c r="Q293">
        <v>0</v>
      </c>
      <c r="R293">
        <v>0</v>
      </c>
      <c r="S293">
        <v>0</v>
      </c>
      <c r="T293">
        <v>0</v>
      </c>
      <c r="U293">
        <v>0</v>
      </c>
      <c r="V293" t="s">
        <v>62</v>
      </c>
      <c r="W293">
        <v>0</v>
      </c>
      <c r="X293" t="s">
        <v>63</v>
      </c>
      <c r="Y293">
        <v>0</v>
      </c>
      <c r="Z293">
        <v>0</v>
      </c>
      <c r="AA293" t="s">
        <v>64</v>
      </c>
    </row>
    <row r="294" spans="7:27" x14ac:dyDescent="0.25">
      <c r="G294" s="18">
        <v>10</v>
      </c>
      <c r="H294">
        <v>0</v>
      </c>
      <c r="I294">
        <v>0</v>
      </c>
      <c r="J294">
        <v>0</v>
      </c>
      <c r="K294" t="s">
        <v>49</v>
      </c>
      <c r="L294" t="s">
        <v>49</v>
      </c>
      <c r="M294">
        <v>0</v>
      </c>
      <c r="N294">
        <v>0</v>
      </c>
      <c r="O294">
        <v>0</v>
      </c>
      <c r="P294">
        <v>0</v>
      </c>
      <c r="Q294" t="s">
        <v>36</v>
      </c>
      <c r="R294">
        <v>0</v>
      </c>
      <c r="S294">
        <v>0</v>
      </c>
      <c r="T294" t="s">
        <v>65</v>
      </c>
      <c r="U294">
        <v>0</v>
      </c>
      <c r="V294" t="s">
        <v>66</v>
      </c>
      <c r="W294">
        <v>0</v>
      </c>
      <c r="X294">
        <v>0</v>
      </c>
      <c r="Y294">
        <v>0</v>
      </c>
      <c r="Z294">
        <v>0</v>
      </c>
      <c r="AA294">
        <v>0</v>
      </c>
    </row>
    <row r="295" spans="7:27" x14ac:dyDescent="0.25">
      <c r="G295" s="18">
        <v>11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 t="s">
        <v>56</v>
      </c>
      <c r="O295" t="s">
        <v>58</v>
      </c>
      <c r="P295">
        <v>0</v>
      </c>
      <c r="Q295">
        <v>0</v>
      </c>
      <c r="R295" t="s">
        <v>36</v>
      </c>
      <c r="S295">
        <v>0</v>
      </c>
      <c r="T295">
        <v>0</v>
      </c>
      <c r="U295" t="s">
        <v>36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</row>
    <row r="296" spans="7:27" x14ac:dyDescent="0.25">
      <c r="G296" s="18">
        <v>12</v>
      </c>
      <c r="H296" t="s">
        <v>39</v>
      </c>
      <c r="I296" t="s">
        <v>41</v>
      </c>
      <c r="J296" t="s">
        <v>45</v>
      </c>
      <c r="K296">
        <v>0</v>
      </c>
      <c r="L296" t="s">
        <v>52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 t="s">
        <v>36</v>
      </c>
      <c r="T296">
        <v>0</v>
      </c>
      <c r="U296">
        <v>0</v>
      </c>
      <c r="V296">
        <v>0</v>
      </c>
      <c r="W296">
        <v>0</v>
      </c>
      <c r="X296" t="s">
        <v>67</v>
      </c>
      <c r="Y296">
        <v>0</v>
      </c>
      <c r="Z296">
        <v>0</v>
      </c>
      <c r="AA296">
        <v>0</v>
      </c>
    </row>
    <row r="297" spans="7:27" x14ac:dyDescent="0.25">
      <c r="G297" s="18">
        <v>13</v>
      </c>
      <c r="H297" t="s">
        <v>36</v>
      </c>
      <c r="I297">
        <v>0</v>
      </c>
      <c r="J297">
        <v>0</v>
      </c>
      <c r="K297">
        <v>0</v>
      </c>
      <c r="L297" t="s">
        <v>53</v>
      </c>
      <c r="M297">
        <v>0</v>
      </c>
      <c r="N297">
        <v>0</v>
      </c>
      <c r="O297">
        <v>0</v>
      </c>
      <c r="P297">
        <v>0</v>
      </c>
      <c r="Q297" t="s">
        <v>65</v>
      </c>
      <c r="R297">
        <v>0</v>
      </c>
      <c r="S297">
        <v>0</v>
      </c>
      <c r="T297" t="s">
        <v>36</v>
      </c>
      <c r="U297">
        <v>0</v>
      </c>
      <c r="V297" t="s">
        <v>68</v>
      </c>
      <c r="W297">
        <v>0</v>
      </c>
      <c r="X297">
        <v>0</v>
      </c>
      <c r="Y297" t="s">
        <v>69</v>
      </c>
      <c r="Z297">
        <v>0</v>
      </c>
      <c r="AA297" t="s">
        <v>70</v>
      </c>
    </row>
    <row r="298" spans="7:27" x14ac:dyDescent="0.25">
      <c r="G298" s="18">
        <v>14</v>
      </c>
      <c r="H298">
        <v>0</v>
      </c>
      <c r="I298" t="s">
        <v>42</v>
      </c>
      <c r="J298" t="s">
        <v>46</v>
      </c>
      <c r="K298">
        <v>0</v>
      </c>
      <c r="L298" t="s">
        <v>36</v>
      </c>
      <c r="M298">
        <v>0</v>
      </c>
      <c r="N298" t="s">
        <v>36</v>
      </c>
      <c r="O298">
        <v>0</v>
      </c>
      <c r="P298">
        <v>0</v>
      </c>
      <c r="Q298">
        <v>0</v>
      </c>
      <c r="R298" t="s">
        <v>36</v>
      </c>
      <c r="S298">
        <v>0</v>
      </c>
      <c r="T298">
        <v>0</v>
      </c>
      <c r="U298" t="s">
        <v>36</v>
      </c>
      <c r="V298">
        <v>0</v>
      </c>
      <c r="W298">
        <v>0</v>
      </c>
      <c r="X298" t="s">
        <v>36</v>
      </c>
      <c r="Y298" t="s">
        <v>36</v>
      </c>
      <c r="Z298">
        <v>0</v>
      </c>
      <c r="AA298">
        <v>0</v>
      </c>
    </row>
    <row r="299" spans="7:27" x14ac:dyDescent="0.25">
      <c r="G299" s="18">
        <v>15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 t="s">
        <v>62</v>
      </c>
      <c r="Q299" t="s">
        <v>66</v>
      </c>
      <c r="R299">
        <v>0</v>
      </c>
      <c r="S299">
        <v>0</v>
      </c>
      <c r="T299" t="s">
        <v>68</v>
      </c>
      <c r="U299">
        <v>0</v>
      </c>
      <c r="V299" t="s">
        <v>36</v>
      </c>
      <c r="W299" t="s">
        <v>71</v>
      </c>
      <c r="X299">
        <v>0</v>
      </c>
      <c r="Y299">
        <v>0</v>
      </c>
      <c r="Z299" t="s">
        <v>72</v>
      </c>
      <c r="AA299">
        <v>0</v>
      </c>
    </row>
    <row r="300" spans="7:27" x14ac:dyDescent="0.25">
      <c r="G300" s="18">
        <v>16</v>
      </c>
      <c r="H300">
        <v>0</v>
      </c>
      <c r="I300">
        <v>0</v>
      </c>
      <c r="J300" t="s">
        <v>47</v>
      </c>
      <c r="K300">
        <v>0</v>
      </c>
      <c r="L300">
        <v>0</v>
      </c>
      <c r="M300">
        <v>0</v>
      </c>
      <c r="N300">
        <v>0</v>
      </c>
      <c r="O300" t="s">
        <v>59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 t="s">
        <v>71</v>
      </c>
      <c r="W300" t="s">
        <v>36</v>
      </c>
      <c r="X300">
        <v>0</v>
      </c>
      <c r="Y300">
        <v>0</v>
      </c>
      <c r="Z300">
        <v>0</v>
      </c>
      <c r="AA300">
        <v>0</v>
      </c>
    </row>
    <row r="301" spans="7:27" x14ac:dyDescent="0.25">
      <c r="G301" s="18">
        <v>17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 t="s">
        <v>60</v>
      </c>
      <c r="P301" t="s">
        <v>63</v>
      </c>
      <c r="Q301">
        <v>0</v>
      </c>
      <c r="R301">
        <v>0</v>
      </c>
      <c r="S301" t="s">
        <v>67</v>
      </c>
      <c r="T301">
        <v>0</v>
      </c>
      <c r="U301" t="s">
        <v>36</v>
      </c>
      <c r="V301">
        <v>0</v>
      </c>
      <c r="W301">
        <v>0</v>
      </c>
      <c r="X301" t="s">
        <v>36</v>
      </c>
      <c r="Y301">
        <v>0</v>
      </c>
      <c r="Z301">
        <v>0</v>
      </c>
      <c r="AA301">
        <v>0</v>
      </c>
    </row>
    <row r="302" spans="7:27" x14ac:dyDescent="0.25">
      <c r="G302" s="18">
        <v>18</v>
      </c>
      <c r="H302">
        <v>0</v>
      </c>
      <c r="I302" t="s">
        <v>43</v>
      </c>
      <c r="J302" t="s">
        <v>48</v>
      </c>
      <c r="K302">
        <v>0</v>
      </c>
      <c r="L302" t="s">
        <v>54</v>
      </c>
      <c r="M302">
        <v>0</v>
      </c>
      <c r="N302">
        <v>0</v>
      </c>
      <c r="O302" t="s">
        <v>61</v>
      </c>
      <c r="P302">
        <v>0</v>
      </c>
      <c r="Q302">
        <v>0</v>
      </c>
      <c r="R302">
        <v>0</v>
      </c>
      <c r="S302">
        <v>0</v>
      </c>
      <c r="T302" t="s">
        <v>69</v>
      </c>
      <c r="U302" t="s">
        <v>36</v>
      </c>
      <c r="V302">
        <v>0</v>
      </c>
      <c r="W302">
        <v>0</v>
      </c>
      <c r="X302">
        <v>0</v>
      </c>
      <c r="Y302" t="s">
        <v>36</v>
      </c>
      <c r="Z302">
        <v>0</v>
      </c>
      <c r="AA302">
        <v>0</v>
      </c>
    </row>
    <row r="303" spans="7:27" x14ac:dyDescent="0.25">
      <c r="G303" s="18">
        <v>19</v>
      </c>
      <c r="H303">
        <v>0</v>
      </c>
      <c r="I303">
        <v>0</v>
      </c>
      <c r="J303">
        <v>0</v>
      </c>
      <c r="K303">
        <v>0</v>
      </c>
      <c r="L303">
        <v>0</v>
      </c>
      <c r="M303" t="s">
        <v>54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 t="s">
        <v>72</v>
      </c>
      <c r="W303">
        <v>0</v>
      </c>
      <c r="X303">
        <v>0</v>
      </c>
      <c r="Y303">
        <v>0</v>
      </c>
      <c r="Z303" t="s">
        <v>36</v>
      </c>
      <c r="AA303">
        <v>0</v>
      </c>
    </row>
    <row r="304" spans="7:27" ht="15.75" thickBot="1" x14ac:dyDescent="0.3">
      <c r="G304" s="19">
        <v>20</v>
      </c>
      <c r="H304">
        <v>0</v>
      </c>
      <c r="I304">
        <v>0</v>
      </c>
      <c r="J304">
        <v>0</v>
      </c>
      <c r="K304" t="s">
        <v>50</v>
      </c>
      <c r="L304">
        <v>0</v>
      </c>
      <c r="M304">
        <v>0</v>
      </c>
      <c r="N304" t="s">
        <v>57</v>
      </c>
      <c r="O304">
        <v>0</v>
      </c>
      <c r="P304" t="s">
        <v>64</v>
      </c>
      <c r="Q304">
        <v>0</v>
      </c>
      <c r="R304">
        <v>0</v>
      </c>
      <c r="S304">
        <v>0</v>
      </c>
      <c r="T304" t="s">
        <v>70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 t="s">
        <v>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or">
                <anchor moveWithCells="1" sizeWithCells="1">
                  <from>
                    <xdr:col>4</xdr:col>
                    <xdr:colOff>9525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0"/>
  <sheetViews>
    <sheetView workbookViewId="0">
      <selection sqref="A1:T20"/>
    </sheetView>
  </sheetViews>
  <sheetFormatPr defaultRowHeight="15" x14ac:dyDescent="0.25"/>
  <cols>
    <col min="1" max="20" width="8" bestFit="1" customWidth="1"/>
  </cols>
  <sheetData>
    <row r="1" spans="1:20" x14ac:dyDescent="0.25">
      <c r="A1">
        <v>303.82499999999999</v>
      </c>
      <c r="B1">
        <v>0</v>
      </c>
      <c r="C1">
        <v>125.642</v>
      </c>
      <c r="D1">
        <v>49.1205</v>
      </c>
      <c r="E1">
        <v>0</v>
      </c>
      <c r="F1">
        <v>44.2044</v>
      </c>
      <c r="G1">
        <v>0</v>
      </c>
      <c r="H1">
        <v>43.209200000000003</v>
      </c>
      <c r="I1">
        <v>0</v>
      </c>
      <c r="J1">
        <v>0</v>
      </c>
      <c r="K1">
        <v>16.583500000000001</v>
      </c>
      <c r="L1">
        <v>71.270200000000003</v>
      </c>
      <c r="M1">
        <v>0</v>
      </c>
      <c r="N1">
        <v>0</v>
      </c>
      <c r="O1">
        <v>67.839500000000001</v>
      </c>
      <c r="P1">
        <v>86.518500000000003</v>
      </c>
      <c r="Q1">
        <v>0</v>
      </c>
      <c r="R1">
        <v>0</v>
      </c>
      <c r="S1">
        <v>0</v>
      </c>
      <c r="T1">
        <v>0</v>
      </c>
    </row>
    <row r="2" spans="1:20" x14ac:dyDescent="0.25">
      <c r="A2">
        <v>0</v>
      </c>
      <c r="B2">
        <v>225.42699999999999</v>
      </c>
      <c r="C2">
        <v>23.692699999999999</v>
      </c>
      <c r="D2">
        <v>0</v>
      </c>
      <c r="E2">
        <v>53.250100000000003</v>
      </c>
      <c r="F2">
        <v>200.81399999999999</v>
      </c>
      <c r="G2">
        <v>16.6846</v>
      </c>
      <c r="H2">
        <v>27.283100000000001</v>
      </c>
      <c r="I2">
        <v>80.515900000000002</v>
      </c>
      <c r="J2">
        <v>18.752600000000001</v>
      </c>
      <c r="K2">
        <v>0</v>
      </c>
      <c r="L2">
        <v>162.292</v>
      </c>
      <c r="M2">
        <v>16.578900000000001</v>
      </c>
      <c r="N2">
        <v>117.625</v>
      </c>
      <c r="O2">
        <v>104.71599999999999</v>
      </c>
      <c r="P2">
        <v>0</v>
      </c>
      <c r="Q2">
        <v>49.459800000000001</v>
      </c>
      <c r="R2">
        <v>42.838999999999999</v>
      </c>
      <c r="S2">
        <v>173.89099999999999</v>
      </c>
      <c r="T2">
        <v>49.419899999999998</v>
      </c>
    </row>
    <row r="3" spans="1:20" x14ac:dyDescent="0.25">
      <c r="A3">
        <v>125.642</v>
      </c>
      <c r="B3">
        <v>23.692699999999999</v>
      </c>
      <c r="C3">
        <v>265.85899999999998</v>
      </c>
      <c r="D3">
        <v>206.80600000000001</v>
      </c>
      <c r="E3">
        <v>0</v>
      </c>
      <c r="F3">
        <v>0</v>
      </c>
      <c r="G3">
        <v>16.583500000000001</v>
      </c>
      <c r="H3">
        <v>181.32400000000001</v>
      </c>
      <c r="I3">
        <v>129.077</v>
      </c>
      <c r="J3">
        <v>45.363500000000002</v>
      </c>
      <c r="K3">
        <v>103.003</v>
      </c>
      <c r="L3">
        <v>63.190800000000003</v>
      </c>
      <c r="M3">
        <v>45.978700000000003</v>
      </c>
      <c r="N3">
        <v>118.6</v>
      </c>
      <c r="O3">
        <v>186.18899999999999</v>
      </c>
      <c r="P3">
        <v>121.753</v>
      </c>
      <c r="Q3">
        <v>0</v>
      </c>
      <c r="R3">
        <v>72.294399999999996</v>
      </c>
      <c r="S3">
        <v>30.725200000000001</v>
      </c>
      <c r="T3">
        <v>119.54900000000001</v>
      </c>
    </row>
    <row r="4" spans="1:20" x14ac:dyDescent="0.25">
      <c r="A4">
        <v>49.1205</v>
      </c>
      <c r="B4">
        <v>0</v>
      </c>
      <c r="C4">
        <v>206.80600000000001</v>
      </c>
      <c r="D4">
        <v>287.76600000000002</v>
      </c>
      <c r="E4">
        <v>0</v>
      </c>
      <c r="F4">
        <v>0</v>
      </c>
      <c r="G4">
        <v>0</v>
      </c>
      <c r="H4">
        <v>49.398000000000003</v>
      </c>
      <c r="I4">
        <v>66.635800000000003</v>
      </c>
      <c r="J4">
        <v>40.764699999999998</v>
      </c>
      <c r="K4">
        <v>0</v>
      </c>
      <c r="L4">
        <v>23.692699999999999</v>
      </c>
      <c r="M4">
        <v>0</v>
      </c>
      <c r="N4">
        <v>70.428700000000006</v>
      </c>
      <c r="O4">
        <v>50.535699999999999</v>
      </c>
      <c r="P4">
        <v>49.295000000000002</v>
      </c>
      <c r="Q4">
        <v>0</v>
      </c>
      <c r="R4">
        <v>0</v>
      </c>
      <c r="S4">
        <v>56.035800000000002</v>
      </c>
      <c r="T4">
        <v>124.836</v>
      </c>
    </row>
    <row r="5" spans="1:20" x14ac:dyDescent="0.25">
      <c r="A5">
        <v>0</v>
      </c>
      <c r="B5">
        <v>53.250100000000003</v>
      </c>
      <c r="C5">
        <v>0</v>
      </c>
      <c r="D5">
        <v>0</v>
      </c>
      <c r="E5">
        <v>519.83100000000002</v>
      </c>
      <c r="F5">
        <v>48.023400000000002</v>
      </c>
      <c r="G5">
        <v>0</v>
      </c>
      <c r="H5">
        <v>46.9422</v>
      </c>
      <c r="I5">
        <v>0</v>
      </c>
      <c r="J5">
        <v>40.764699999999998</v>
      </c>
      <c r="K5">
        <v>0</v>
      </c>
      <c r="L5">
        <v>103.208</v>
      </c>
      <c r="M5">
        <v>100.51300000000001</v>
      </c>
      <c r="N5">
        <v>0</v>
      </c>
      <c r="O5">
        <v>66.892600000000002</v>
      </c>
      <c r="P5">
        <v>22.351900000000001</v>
      </c>
      <c r="Q5">
        <v>13.0121</v>
      </c>
      <c r="R5">
        <v>28.861000000000001</v>
      </c>
      <c r="S5">
        <v>0</v>
      </c>
      <c r="T5">
        <v>0</v>
      </c>
    </row>
    <row r="6" spans="1:20" x14ac:dyDescent="0.25">
      <c r="A6">
        <v>44.2044</v>
      </c>
      <c r="B6">
        <v>200.81399999999999</v>
      </c>
      <c r="C6">
        <v>0</v>
      </c>
      <c r="D6">
        <v>0</v>
      </c>
      <c r="E6">
        <v>48.023400000000002</v>
      </c>
      <c r="F6">
        <v>616.66999999999996</v>
      </c>
      <c r="G6">
        <v>32.805700000000002</v>
      </c>
      <c r="H6">
        <v>122.6</v>
      </c>
      <c r="I6">
        <v>104.42100000000001</v>
      </c>
      <c r="J6">
        <v>11.769</v>
      </c>
      <c r="K6">
        <v>58.193899999999999</v>
      </c>
      <c r="L6">
        <v>136.642</v>
      </c>
      <c r="M6">
        <v>10.4048</v>
      </c>
      <c r="N6">
        <v>63.380099999999999</v>
      </c>
      <c r="O6">
        <v>171.798</v>
      </c>
      <c r="P6">
        <v>38.537500000000001</v>
      </c>
      <c r="Q6">
        <v>20.051300000000001</v>
      </c>
      <c r="R6">
        <v>38.634300000000003</v>
      </c>
      <c r="S6">
        <v>217.334</v>
      </c>
      <c r="T6">
        <v>87.051400000000001</v>
      </c>
    </row>
    <row r="7" spans="1:20" x14ac:dyDescent="0.25">
      <c r="A7">
        <v>0</v>
      </c>
      <c r="B7">
        <v>16.6846</v>
      </c>
      <c r="C7">
        <v>16.583500000000001</v>
      </c>
      <c r="D7">
        <v>0</v>
      </c>
      <c r="E7">
        <v>0</v>
      </c>
      <c r="F7">
        <v>32.805700000000002</v>
      </c>
      <c r="G7">
        <v>243.17599999999999</v>
      </c>
      <c r="H7">
        <v>28.267600000000002</v>
      </c>
      <c r="I7">
        <v>21.927800000000001</v>
      </c>
      <c r="J7">
        <v>0</v>
      </c>
      <c r="K7">
        <v>21.786300000000001</v>
      </c>
      <c r="L7">
        <v>0</v>
      </c>
      <c r="M7">
        <v>0</v>
      </c>
      <c r="N7">
        <v>0</v>
      </c>
      <c r="O7">
        <v>9.4174699999999998</v>
      </c>
      <c r="P7">
        <v>10.395300000000001</v>
      </c>
      <c r="Q7">
        <v>0</v>
      </c>
      <c r="R7">
        <v>0</v>
      </c>
      <c r="S7">
        <v>0</v>
      </c>
      <c r="T7">
        <v>52.143500000000003</v>
      </c>
    </row>
    <row r="8" spans="1:20" x14ac:dyDescent="0.25">
      <c r="A8">
        <v>43.209200000000003</v>
      </c>
      <c r="B8">
        <v>27.283100000000001</v>
      </c>
      <c r="C8">
        <v>181.32400000000001</v>
      </c>
      <c r="D8">
        <v>49.398000000000003</v>
      </c>
      <c r="E8">
        <v>46.9422</v>
      </c>
      <c r="F8">
        <v>122.6</v>
      </c>
      <c r="G8">
        <v>28.267600000000002</v>
      </c>
      <c r="H8">
        <v>596.29700000000003</v>
      </c>
      <c r="I8">
        <v>129.30199999999999</v>
      </c>
      <c r="J8">
        <v>24.537700000000001</v>
      </c>
      <c r="K8">
        <v>206.90799999999999</v>
      </c>
      <c r="L8">
        <v>70.698800000000006</v>
      </c>
      <c r="M8">
        <v>21.6935</v>
      </c>
      <c r="N8">
        <v>0</v>
      </c>
      <c r="O8">
        <v>167.905</v>
      </c>
      <c r="P8">
        <v>100.33199999999999</v>
      </c>
      <c r="Q8">
        <v>62.981900000000003</v>
      </c>
      <c r="R8">
        <v>37.764400000000002</v>
      </c>
      <c r="S8">
        <v>58.193899999999999</v>
      </c>
      <c r="T8">
        <v>64.665700000000001</v>
      </c>
    </row>
    <row r="9" spans="1:20" x14ac:dyDescent="0.25">
      <c r="A9">
        <v>0</v>
      </c>
      <c r="B9">
        <v>80.515900000000002</v>
      </c>
      <c r="C9">
        <v>129.077</v>
      </c>
      <c r="D9">
        <v>66.635800000000003</v>
      </c>
      <c r="E9">
        <v>0</v>
      </c>
      <c r="F9">
        <v>104.42100000000001</v>
      </c>
      <c r="G9">
        <v>21.927800000000001</v>
      </c>
      <c r="H9">
        <v>129.30199999999999</v>
      </c>
      <c r="I9">
        <v>469.51499999999999</v>
      </c>
      <c r="J9">
        <v>36.349299999999999</v>
      </c>
      <c r="K9">
        <v>64.665700000000001</v>
      </c>
      <c r="L9">
        <v>49.419899999999998</v>
      </c>
      <c r="M9">
        <v>103.92700000000001</v>
      </c>
      <c r="N9">
        <v>0</v>
      </c>
      <c r="O9">
        <v>222.08699999999999</v>
      </c>
      <c r="P9">
        <v>119.60599999999999</v>
      </c>
      <c r="Q9">
        <v>41.967300000000002</v>
      </c>
      <c r="R9">
        <v>0</v>
      </c>
      <c r="S9">
        <v>139.63</v>
      </c>
      <c r="T9">
        <v>168.33799999999999</v>
      </c>
    </row>
    <row r="10" spans="1:20" x14ac:dyDescent="0.25">
      <c r="A10">
        <v>0</v>
      </c>
      <c r="B10">
        <v>18.752600000000001</v>
      </c>
      <c r="C10">
        <v>45.363500000000002</v>
      </c>
      <c r="D10">
        <v>40.764699999999998</v>
      </c>
      <c r="E10">
        <v>40.764699999999998</v>
      </c>
      <c r="F10">
        <v>11.769</v>
      </c>
      <c r="G10">
        <v>0</v>
      </c>
      <c r="H10">
        <v>24.537700000000001</v>
      </c>
      <c r="I10">
        <v>36.349299999999999</v>
      </c>
      <c r="J10">
        <v>172.292</v>
      </c>
      <c r="K10">
        <v>0</v>
      </c>
      <c r="L10">
        <v>0</v>
      </c>
      <c r="M10">
        <v>16.290299999999998</v>
      </c>
      <c r="N10">
        <v>0</v>
      </c>
      <c r="O10">
        <v>60.069000000000003</v>
      </c>
      <c r="P10">
        <v>36.170299999999997</v>
      </c>
      <c r="Q10">
        <v>0</v>
      </c>
      <c r="R10">
        <v>0</v>
      </c>
      <c r="S10">
        <v>27.834900000000001</v>
      </c>
      <c r="T10">
        <v>9.4174699999999998</v>
      </c>
    </row>
    <row r="11" spans="1:20" x14ac:dyDescent="0.25">
      <c r="A11">
        <v>16.583500000000001</v>
      </c>
      <c r="B11">
        <v>0</v>
      </c>
      <c r="C11">
        <v>103.003</v>
      </c>
      <c r="D11">
        <v>0</v>
      </c>
      <c r="E11">
        <v>0</v>
      </c>
      <c r="F11">
        <v>58.193899999999999</v>
      </c>
      <c r="G11">
        <v>21.786300000000001</v>
      </c>
      <c r="H11">
        <v>206.90799999999999</v>
      </c>
      <c r="I11">
        <v>64.665700000000001</v>
      </c>
      <c r="J11">
        <v>0</v>
      </c>
      <c r="K11">
        <v>394.86799999999999</v>
      </c>
      <c r="L11">
        <v>27.283100000000001</v>
      </c>
      <c r="M11">
        <v>0</v>
      </c>
      <c r="N11">
        <v>0</v>
      </c>
      <c r="O11">
        <v>111.002</v>
      </c>
      <c r="P11">
        <v>90.470799999999997</v>
      </c>
      <c r="Q11">
        <v>50.994900000000001</v>
      </c>
      <c r="R11">
        <v>14.4939</v>
      </c>
      <c r="S11">
        <v>0</v>
      </c>
      <c r="T11">
        <v>0</v>
      </c>
    </row>
    <row r="12" spans="1:20" x14ac:dyDescent="0.25">
      <c r="A12">
        <v>71.270200000000003</v>
      </c>
      <c r="B12">
        <v>162.292</v>
      </c>
      <c r="C12">
        <v>63.190800000000003</v>
      </c>
      <c r="D12">
        <v>23.692699999999999</v>
      </c>
      <c r="E12">
        <v>103.208</v>
      </c>
      <c r="F12">
        <v>136.642</v>
      </c>
      <c r="G12">
        <v>0</v>
      </c>
      <c r="H12">
        <v>70.698800000000006</v>
      </c>
      <c r="I12">
        <v>49.419899999999998</v>
      </c>
      <c r="J12">
        <v>0</v>
      </c>
      <c r="K12">
        <v>27.283100000000001</v>
      </c>
      <c r="L12">
        <v>317.29899999999998</v>
      </c>
      <c r="M12">
        <v>0</v>
      </c>
      <c r="N12">
        <v>0</v>
      </c>
      <c r="O12">
        <v>84.831900000000005</v>
      </c>
      <c r="P12">
        <v>0</v>
      </c>
      <c r="Q12">
        <v>83.845299999999995</v>
      </c>
      <c r="R12">
        <v>13.0121</v>
      </c>
      <c r="S12">
        <v>111.738</v>
      </c>
      <c r="T12">
        <v>0</v>
      </c>
    </row>
    <row r="13" spans="1:20" x14ac:dyDescent="0.25">
      <c r="A13">
        <v>0</v>
      </c>
      <c r="B13">
        <v>16.578900000000001</v>
      </c>
      <c r="C13">
        <v>45.978700000000003</v>
      </c>
      <c r="D13">
        <v>0</v>
      </c>
      <c r="E13">
        <v>100.51300000000001</v>
      </c>
      <c r="F13">
        <v>10.4048</v>
      </c>
      <c r="G13">
        <v>0</v>
      </c>
      <c r="H13">
        <v>21.6935</v>
      </c>
      <c r="I13">
        <v>103.92700000000001</v>
      </c>
      <c r="J13">
        <v>16.290299999999998</v>
      </c>
      <c r="K13">
        <v>0</v>
      </c>
      <c r="L13">
        <v>0</v>
      </c>
      <c r="M13">
        <v>225.72800000000001</v>
      </c>
      <c r="N13">
        <v>0</v>
      </c>
      <c r="O13">
        <v>138.18600000000001</v>
      </c>
      <c r="P13">
        <v>45.419400000000003</v>
      </c>
      <c r="Q13">
        <v>0</v>
      </c>
      <c r="R13">
        <v>97.151700000000005</v>
      </c>
      <c r="S13">
        <v>24.608599999999999</v>
      </c>
      <c r="T13">
        <v>123.46</v>
      </c>
    </row>
    <row r="14" spans="1:20" x14ac:dyDescent="0.25">
      <c r="A14">
        <v>0</v>
      </c>
      <c r="B14">
        <v>117.625</v>
      </c>
      <c r="C14">
        <v>118.6</v>
      </c>
      <c r="D14">
        <v>70.428700000000006</v>
      </c>
      <c r="E14">
        <v>0</v>
      </c>
      <c r="F14">
        <v>63.380099999999999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652.04300000000001</v>
      </c>
      <c r="O14">
        <v>120.895</v>
      </c>
      <c r="P14">
        <v>124.05</v>
      </c>
      <c r="Q14">
        <v>0</v>
      </c>
      <c r="R14">
        <v>0</v>
      </c>
      <c r="S14">
        <v>0</v>
      </c>
      <c r="T14">
        <v>0</v>
      </c>
    </row>
    <row r="15" spans="1:20" x14ac:dyDescent="0.25">
      <c r="A15">
        <v>67.839500000000001</v>
      </c>
      <c r="B15">
        <v>104.71599999999999</v>
      </c>
      <c r="C15">
        <v>186.18899999999999</v>
      </c>
      <c r="D15">
        <v>50.535699999999999</v>
      </c>
      <c r="E15">
        <v>66.892600000000002</v>
      </c>
      <c r="F15">
        <v>171.798</v>
      </c>
      <c r="G15">
        <v>9.4174699999999998</v>
      </c>
      <c r="H15">
        <v>167.905</v>
      </c>
      <c r="I15">
        <v>222.08699999999999</v>
      </c>
      <c r="J15">
        <v>60.069000000000003</v>
      </c>
      <c r="K15">
        <v>111.002</v>
      </c>
      <c r="L15">
        <v>84.831900000000005</v>
      </c>
      <c r="M15">
        <v>138.18600000000001</v>
      </c>
      <c r="N15">
        <v>120.895</v>
      </c>
      <c r="O15">
        <v>487.37</v>
      </c>
      <c r="P15">
        <v>132.66800000000001</v>
      </c>
      <c r="Q15">
        <v>21.541699999999999</v>
      </c>
      <c r="R15">
        <v>43.000799999999998</v>
      </c>
      <c r="S15">
        <v>195.03299999999999</v>
      </c>
      <c r="T15">
        <v>184.10900000000001</v>
      </c>
    </row>
    <row r="16" spans="1:20" x14ac:dyDescent="0.25">
      <c r="A16">
        <v>86.518500000000003</v>
      </c>
      <c r="B16">
        <v>0</v>
      </c>
      <c r="C16">
        <v>121.753</v>
      </c>
      <c r="D16">
        <v>49.295000000000002</v>
      </c>
      <c r="E16">
        <v>22.351900000000001</v>
      </c>
      <c r="F16">
        <v>38.537500000000001</v>
      </c>
      <c r="G16">
        <v>10.395300000000001</v>
      </c>
      <c r="H16">
        <v>100.33199999999999</v>
      </c>
      <c r="I16">
        <v>119.60599999999999</v>
      </c>
      <c r="J16">
        <v>36.170299999999997</v>
      </c>
      <c r="K16">
        <v>90.470799999999997</v>
      </c>
      <c r="L16">
        <v>0</v>
      </c>
      <c r="M16">
        <v>45.419400000000003</v>
      </c>
      <c r="N16">
        <v>124.05</v>
      </c>
      <c r="O16">
        <v>132.66800000000001</v>
      </c>
      <c r="P16">
        <v>90.067800000000005</v>
      </c>
      <c r="Q16">
        <v>9.3326200000000004</v>
      </c>
      <c r="R16">
        <v>0</v>
      </c>
      <c r="S16">
        <v>46.186399999999999</v>
      </c>
      <c r="T16">
        <v>64.531000000000006</v>
      </c>
    </row>
    <row r="17" spans="1:20" x14ac:dyDescent="0.25">
      <c r="A17">
        <v>0</v>
      </c>
      <c r="B17">
        <v>49.459800000000001</v>
      </c>
      <c r="C17">
        <v>0</v>
      </c>
      <c r="D17">
        <v>0</v>
      </c>
      <c r="E17">
        <v>13.0121</v>
      </c>
      <c r="F17">
        <v>20.051300000000001</v>
      </c>
      <c r="G17">
        <v>0</v>
      </c>
      <c r="H17">
        <v>62.981900000000003</v>
      </c>
      <c r="I17">
        <v>41.967300000000002</v>
      </c>
      <c r="J17">
        <v>0</v>
      </c>
      <c r="K17">
        <v>50.994900000000001</v>
      </c>
      <c r="L17">
        <v>83.845299999999995</v>
      </c>
      <c r="M17">
        <v>0</v>
      </c>
      <c r="N17">
        <v>0</v>
      </c>
      <c r="O17">
        <v>21.541699999999999</v>
      </c>
      <c r="P17">
        <v>9.3326200000000004</v>
      </c>
      <c r="Q17">
        <v>169.911</v>
      </c>
      <c r="R17">
        <v>0</v>
      </c>
      <c r="S17">
        <v>0</v>
      </c>
      <c r="T17">
        <v>17.020600000000002</v>
      </c>
    </row>
    <row r="18" spans="1:20" x14ac:dyDescent="0.25">
      <c r="A18">
        <v>0</v>
      </c>
      <c r="B18">
        <v>42.838999999999999</v>
      </c>
      <c r="C18">
        <v>72.294399999999996</v>
      </c>
      <c r="D18">
        <v>0</v>
      </c>
      <c r="E18">
        <v>28.861000000000001</v>
      </c>
      <c r="F18">
        <v>38.634300000000003</v>
      </c>
      <c r="G18">
        <v>0</v>
      </c>
      <c r="H18">
        <v>37.764400000000002</v>
      </c>
      <c r="I18">
        <v>0</v>
      </c>
      <c r="J18">
        <v>0</v>
      </c>
      <c r="K18">
        <v>14.4939</v>
      </c>
      <c r="L18">
        <v>13.0121</v>
      </c>
      <c r="M18">
        <v>97.151700000000005</v>
      </c>
      <c r="N18">
        <v>0</v>
      </c>
      <c r="O18">
        <v>43.000799999999998</v>
      </c>
      <c r="P18">
        <v>0</v>
      </c>
      <c r="Q18">
        <v>0</v>
      </c>
      <c r="R18">
        <v>371.09699999999998</v>
      </c>
      <c r="S18">
        <v>0</v>
      </c>
      <c r="T18">
        <v>0</v>
      </c>
    </row>
    <row r="19" spans="1:20" x14ac:dyDescent="0.25">
      <c r="A19">
        <v>0</v>
      </c>
      <c r="B19">
        <v>173.89099999999999</v>
      </c>
      <c r="C19">
        <v>30.725200000000001</v>
      </c>
      <c r="D19">
        <v>56.035800000000002</v>
      </c>
      <c r="E19">
        <v>0</v>
      </c>
      <c r="F19">
        <v>217.334</v>
      </c>
      <c r="G19">
        <v>0</v>
      </c>
      <c r="H19">
        <v>58.193899999999999</v>
      </c>
      <c r="I19">
        <v>139.63</v>
      </c>
      <c r="J19">
        <v>27.834900000000001</v>
      </c>
      <c r="K19">
        <v>0</v>
      </c>
      <c r="L19">
        <v>111.738</v>
      </c>
      <c r="M19">
        <v>24.608599999999999</v>
      </c>
      <c r="N19">
        <v>0</v>
      </c>
      <c r="O19">
        <v>195.03299999999999</v>
      </c>
      <c r="P19">
        <v>46.186399999999999</v>
      </c>
      <c r="Q19">
        <v>0</v>
      </c>
      <c r="R19">
        <v>0</v>
      </c>
      <c r="S19">
        <v>367.995</v>
      </c>
      <c r="T19">
        <v>123.89100000000001</v>
      </c>
    </row>
    <row r="20" spans="1:20" x14ac:dyDescent="0.25">
      <c r="A20">
        <v>0</v>
      </c>
      <c r="B20">
        <v>49.419899999999998</v>
      </c>
      <c r="C20">
        <v>119.54900000000001</v>
      </c>
      <c r="D20">
        <v>124.836</v>
      </c>
      <c r="E20">
        <v>0</v>
      </c>
      <c r="F20">
        <v>87.051400000000001</v>
      </c>
      <c r="G20">
        <v>52.143500000000003</v>
      </c>
      <c r="H20">
        <v>64.665700000000001</v>
      </c>
      <c r="I20">
        <v>168.33799999999999</v>
      </c>
      <c r="J20">
        <v>9.4174699999999998</v>
      </c>
      <c r="K20">
        <v>0</v>
      </c>
      <c r="L20">
        <v>0</v>
      </c>
      <c r="M20">
        <v>123.46</v>
      </c>
      <c r="N20">
        <v>0</v>
      </c>
      <c r="O20">
        <v>184.10900000000001</v>
      </c>
      <c r="P20">
        <v>64.531000000000006</v>
      </c>
      <c r="Q20">
        <v>17.020600000000002</v>
      </c>
      <c r="R20">
        <v>0</v>
      </c>
      <c r="S20">
        <v>123.89100000000001</v>
      </c>
      <c r="T20">
        <v>505.56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param</vt:lpstr>
      <vt:lpstr>Лист1</vt:lpstr>
      <vt:lpstr>param!out</vt:lpstr>
      <vt:lpstr>Лист1!out</vt:lpstr>
      <vt:lpstr>param!пути_1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Пес</cp:lastModifiedBy>
  <dcterms:created xsi:type="dcterms:W3CDTF">2017-09-26T07:27:19Z</dcterms:created>
  <dcterms:modified xsi:type="dcterms:W3CDTF">2019-12-26T12:08:24Z</dcterms:modified>
</cp:coreProperties>
</file>
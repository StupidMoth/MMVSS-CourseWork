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360" windowWidth="18915" windowHeight="6960"/>
  </bookViews>
  <sheets>
    <sheet name="param" sheetId="1" r:id="rId1"/>
  </sheets>
  <calcPr calcId="144525"/>
  <fileRecoveryPr repairLoad="1"/>
</workbook>
</file>

<file path=xl/calcChain.xml><?xml version="1.0" encoding="utf-8"?>
<calcChain xmlns="http://schemas.openxmlformats.org/spreadsheetml/2006/main">
  <c r="AE30" i="1" l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AD30" i="1" l="1"/>
  <c r="AC30" i="1"/>
  <c r="AB29" i="1" l="1"/>
  <c r="B29" i="1" l="1"/>
  <c r="D11" i="1" l="1"/>
  <c r="D25" i="1"/>
  <c r="D24" i="1"/>
  <c r="D23" i="1"/>
  <c r="D20" i="1"/>
  <c r="D12" i="1"/>
  <c r="D17" i="1"/>
  <c r="D19" i="1"/>
  <c r="D28" i="1"/>
  <c r="D16" i="1"/>
  <c r="D27" i="1"/>
  <c r="D15" i="1"/>
  <c r="D26" i="1"/>
  <c r="D18" i="1"/>
  <c r="D10" i="1"/>
  <c r="D22" i="1"/>
  <c r="D14" i="1"/>
  <c r="D9" i="1"/>
  <c r="D21" i="1"/>
  <c r="D13" i="1"/>
  <c r="D29" i="1" l="1"/>
</calcChain>
</file>

<file path=xl/sharedStrings.xml><?xml version="1.0" encoding="utf-8"?>
<sst xmlns="http://schemas.openxmlformats.org/spreadsheetml/2006/main" count="27" uniqueCount="25">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</sst>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E39"/>
  <sheetViews>
    <sheetView tabSelected="1" zoomScale="70" zoomScaleNormal="70" workbookViewId="0">
      <selection activeCell="B29" sqref="B29"/>
    </sheetView>
  </sheetViews>
  <sheetFormatPr defaultRowHeight="15" x14ac:dyDescent="0.25"/>
  <cols>
    <col min="2" max="2" width="11.42578125" customWidth="1"/>
    <col min="3" max="3" width="6.7109375" customWidth="1"/>
    <col min="5" max="5" width="10.140625" customWidth="1"/>
    <col min="6" max="6" width="9.7109375" customWidth="1"/>
    <col min="7" max="26" width="5.140625" customWidth="1"/>
    <col min="27" max="27" width="5.5703125" customWidth="1"/>
    <col min="29" max="29" width="7.28515625" hidden="1" customWidth="1"/>
    <col min="30" max="31" width="0" hidden="1" customWidth="1"/>
  </cols>
  <sheetData>
    <row r="1" spans="1:30" x14ac:dyDescent="0.25">
      <c r="A1" s="1" t="s">
        <v>12</v>
      </c>
    </row>
    <row r="2" spans="1:30" ht="15.75" thickBot="1" x14ac:dyDescent="0.3"/>
    <row r="3" spans="1:30" ht="15.75" thickBot="1" x14ac:dyDescent="0.3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</row>
    <row r="4" spans="1:30" ht="19.5" thickBot="1" x14ac:dyDescent="0.3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</row>
    <row r="5" spans="1:30" ht="15.75" thickBot="1" x14ac:dyDescent="0.3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</row>
    <row r="6" spans="1:30" ht="15.75" thickBot="1" x14ac:dyDescent="0.3">
      <c r="D6" s="47" t="s">
        <v>19</v>
      </c>
      <c r="E6" s="44">
        <v>98</v>
      </c>
      <c r="F6" t="s">
        <v>20</v>
      </c>
    </row>
    <row r="7" spans="1:30" ht="15.75" thickBot="1" x14ac:dyDescent="0.3">
      <c r="A7" s="1" t="s">
        <v>2</v>
      </c>
      <c r="G7" s="1" t="s">
        <v>11</v>
      </c>
    </row>
    <row r="8" spans="1:30" ht="15.75" thickBot="1" x14ac:dyDescent="0.3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</row>
    <row r="9" spans="1:30" x14ac:dyDescent="0.25">
      <c r="A9" s="8">
        <v>1</v>
      </c>
      <c r="B9" s="10">
        <v>7916</v>
      </c>
      <c r="D9" s="28">
        <f>B9/$B$29</f>
        <v>6.1540853611132706E-2</v>
      </c>
      <c r="G9" s="23">
        <v>1</v>
      </c>
      <c r="H9" s="14">
        <v>0</v>
      </c>
      <c r="I9" s="3">
        <v>24.33963418006897</v>
      </c>
      <c r="J9" s="3"/>
      <c r="K9" s="3"/>
      <c r="L9" s="3">
        <v>57.964044809341431</v>
      </c>
      <c r="M9" s="3">
        <v>63.283306360244751</v>
      </c>
      <c r="N9" s="3">
        <v>92.041593790054321</v>
      </c>
      <c r="O9" s="3">
        <v>97.412735223770142</v>
      </c>
      <c r="P9" s="3">
        <v>34.133058786392212</v>
      </c>
      <c r="Q9" s="3">
        <v>8.5013926029205322</v>
      </c>
      <c r="R9" s="3"/>
      <c r="S9" s="3"/>
      <c r="T9" s="3">
        <v>43.920236825942993</v>
      </c>
      <c r="U9" s="3">
        <v>13.118892908096313</v>
      </c>
      <c r="V9" s="3"/>
      <c r="W9" s="3">
        <v>94.928985834121704</v>
      </c>
      <c r="X9" s="3">
        <v>40.450578927993774</v>
      </c>
      <c r="Y9" s="3">
        <v>30.260807275772095</v>
      </c>
      <c r="Z9" s="3">
        <v>84.720999002456665</v>
      </c>
      <c r="AA9" s="3"/>
      <c r="AC9" s="39">
        <f>SUM(H9:AA9)</f>
        <v>685.0762665271759</v>
      </c>
      <c r="AD9" s="2">
        <f>COUNTIF(H9:AA9,"&gt;0")</f>
        <v>13</v>
      </c>
    </row>
    <row r="10" spans="1:30" x14ac:dyDescent="0.25">
      <c r="A10" s="9">
        <v>2</v>
      </c>
      <c r="B10" s="11">
        <v>9084</v>
      </c>
      <c r="D10" s="29">
        <f t="shared" ref="D10:D28" si="0">B10/$B$29</f>
        <v>7.0621161470885485E-2</v>
      </c>
      <c r="G10" s="17">
        <v>2</v>
      </c>
      <c r="H10" s="15">
        <v>24.33963418006897</v>
      </c>
      <c r="I10" s="2">
        <v>0</v>
      </c>
      <c r="J10" s="2"/>
      <c r="K10" s="2">
        <v>73.851078748703003</v>
      </c>
      <c r="L10" s="2"/>
      <c r="M10" s="2">
        <v>72.562569379806519</v>
      </c>
      <c r="N10" s="2">
        <v>92.031687498092651</v>
      </c>
      <c r="O10" s="2"/>
      <c r="P10" s="2">
        <v>14.018934965133667</v>
      </c>
      <c r="Q10" s="2">
        <v>65.85347056388855</v>
      </c>
      <c r="R10" s="2">
        <v>67.897051572799683</v>
      </c>
      <c r="S10" s="2">
        <v>54.964131116867065</v>
      </c>
      <c r="T10" s="2"/>
      <c r="U10" s="2"/>
      <c r="V10" s="2">
        <v>85.388392210006714</v>
      </c>
      <c r="W10" s="2">
        <v>91.943997144699097</v>
      </c>
      <c r="X10" s="2"/>
      <c r="Y10" s="2"/>
      <c r="Z10" s="2"/>
      <c r="AA10" s="2"/>
      <c r="AC10" s="39">
        <f t="shared" ref="AC10:AC28" si="1">SUM(H10:AA10)</f>
        <v>642.85094738006592</v>
      </c>
      <c r="AD10" s="2">
        <f t="shared" ref="AD10:AD28" si="2">COUNTIF(H10:AA10,"&gt;0")</f>
        <v>10</v>
      </c>
    </row>
    <row r="11" spans="1:30" x14ac:dyDescent="0.25">
      <c r="A11" s="9">
        <v>3</v>
      </c>
      <c r="B11" s="11">
        <v>7295</v>
      </c>
      <c r="D11" s="29">
        <f t="shared" si="0"/>
        <v>5.6713052942548393E-2</v>
      </c>
      <c r="G11" s="18">
        <v>3</v>
      </c>
      <c r="H11" s="15"/>
      <c r="I11" s="2"/>
      <c r="J11" s="2">
        <v>0</v>
      </c>
      <c r="K11" s="2">
        <v>49.044591188430786</v>
      </c>
      <c r="L11" s="2">
        <v>40.962821245193481</v>
      </c>
      <c r="M11" s="2"/>
      <c r="N11" s="2">
        <v>53.197413682937622</v>
      </c>
      <c r="O11" s="2"/>
      <c r="P11" s="2">
        <v>39.559203386306763</v>
      </c>
      <c r="Q11" s="2"/>
      <c r="R11" s="2">
        <v>75.438815355300903</v>
      </c>
      <c r="S11" s="2"/>
      <c r="T11" s="2">
        <v>61.226874589920044</v>
      </c>
      <c r="U11" s="2"/>
      <c r="V11" s="2">
        <v>22.314006090164185</v>
      </c>
      <c r="W11" s="2"/>
      <c r="X11" s="2"/>
      <c r="Y11" s="2">
        <v>19.070893526077271</v>
      </c>
      <c r="Z11" s="2">
        <v>96.947985887527466</v>
      </c>
      <c r="AA11" s="2">
        <v>68.552190065383911</v>
      </c>
      <c r="AC11" s="39">
        <f t="shared" si="1"/>
        <v>526.31479501724243</v>
      </c>
      <c r="AD11" s="2">
        <f t="shared" si="2"/>
        <v>10</v>
      </c>
    </row>
    <row r="12" spans="1:30" x14ac:dyDescent="0.25">
      <c r="A12" s="9">
        <v>4</v>
      </c>
      <c r="B12" s="11">
        <v>6958</v>
      </c>
      <c r="D12" s="29">
        <f t="shared" si="0"/>
        <v>5.4093135349451919E-2</v>
      </c>
      <c r="G12" s="18">
        <v>4</v>
      </c>
      <c r="H12" s="15"/>
      <c r="I12" s="2">
        <v>73.851078748703003</v>
      </c>
      <c r="J12" s="2">
        <v>49.044591188430786</v>
      </c>
      <c r="K12" s="2">
        <v>0</v>
      </c>
      <c r="L12" s="2">
        <v>61.082500219345093</v>
      </c>
      <c r="M12" s="2"/>
      <c r="N12" s="2">
        <v>4.9828946590423584</v>
      </c>
      <c r="O12" s="2">
        <v>29.041093587875366</v>
      </c>
      <c r="P12" s="2">
        <v>78.528064489364624</v>
      </c>
      <c r="Q12" s="2"/>
      <c r="R12" s="2">
        <v>60.23363471031189</v>
      </c>
      <c r="S12" s="2">
        <v>43.331140279769897</v>
      </c>
      <c r="T12" s="2"/>
      <c r="U12" s="2">
        <v>39.181607961654663</v>
      </c>
      <c r="V12" s="2">
        <v>87.188476324081421</v>
      </c>
      <c r="W12" s="2"/>
      <c r="X12" s="2"/>
      <c r="Y12" s="2"/>
      <c r="Z12" s="2"/>
      <c r="AA12" s="2">
        <v>48.74228835105896</v>
      </c>
      <c r="AC12" s="39">
        <f t="shared" si="1"/>
        <v>575.20737051963806</v>
      </c>
      <c r="AD12" s="2">
        <f t="shared" si="2"/>
        <v>11</v>
      </c>
    </row>
    <row r="13" spans="1:30" x14ac:dyDescent="0.25">
      <c r="A13" s="9">
        <v>5</v>
      </c>
      <c r="B13" s="11">
        <v>8765</v>
      </c>
      <c r="D13" s="29">
        <f t="shared" si="0"/>
        <v>6.814118012905232E-2</v>
      </c>
      <c r="G13" s="18">
        <v>5</v>
      </c>
      <c r="H13" s="15">
        <v>57.964044809341431</v>
      </c>
      <c r="I13" s="2"/>
      <c r="J13" s="2">
        <v>40.962821245193481</v>
      </c>
      <c r="K13" s="2">
        <v>61.082500219345093</v>
      </c>
      <c r="L13" s="2">
        <v>0</v>
      </c>
      <c r="M13" s="2">
        <v>10.120779275894165</v>
      </c>
      <c r="N13" s="2">
        <v>32.697731256484985</v>
      </c>
      <c r="O13" s="2"/>
      <c r="P13" s="2">
        <v>61.205822229385376</v>
      </c>
      <c r="Q13" s="2"/>
      <c r="R13" s="2"/>
      <c r="S13" s="2">
        <v>61.523348093032837</v>
      </c>
      <c r="T13" s="2">
        <v>57.693439722061157</v>
      </c>
      <c r="U13" s="2">
        <v>47.029119729995728</v>
      </c>
      <c r="V13" s="2">
        <v>13.954216241836548</v>
      </c>
      <c r="W13" s="2"/>
      <c r="X13" s="2">
        <v>76.080471277236938</v>
      </c>
      <c r="Y13" s="2"/>
      <c r="Z13" s="2"/>
      <c r="AA13" s="2"/>
      <c r="AC13" s="39">
        <f t="shared" si="1"/>
        <v>520.31429409980774</v>
      </c>
      <c r="AD13" s="2">
        <f t="shared" si="2"/>
        <v>11</v>
      </c>
    </row>
    <row r="14" spans="1:30" x14ac:dyDescent="0.25">
      <c r="A14" s="9">
        <v>6</v>
      </c>
      <c r="B14" s="11">
        <v>4897</v>
      </c>
      <c r="D14" s="29">
        <f t="shared" si="0"/>
        <v>3.8070434579802533E-2</v>
      </c>
      <c r="G14" s="18">
        <v>6</v>
      </c>
      <c r="H14" s="15">
        <v>63.283306360244751</v>
      </c>
      <c r="I14" s="2">
        <v>72.562569379806519</v>
      </c>
      <c r="J14" s="2"/>
      <c r="K14" s="2"/>
      <c r="L14" s="2">
        <v>10.120779275894165</v>
      </c>
      <c r="M14" s="2">
        <v>0</v>
      </c>
      <c r="N14" s="2">
        <v>86.940830945968628</v>
      </c>
      <c r="O14" s="2">
        <v>94.444006681442261</v>
      </c>
      <c r="P14" s="2">
        <v>42.927712202072144</v>
      </c>
      <c r="Q14" s="2"/>
      <c r="R14" s="2"/>
      <c r="S14" s="2">
        <v>99.594038724899292</v>
      </c>
      <c r="T14" s="2">
        <v>97.644394636154175</v>
      </c>
      <c r="U14" s="2"/>
      <c r="V14" s="2">
        <v>90.90544581413269</v>
      </c>
      <c r="W14" s="2">
        <v>19.807547330856323</v>
      </c>
      <c r="X14" s="2"/>
      <c r="Y14" s="2">
        <v>81.852167844772339</v>
      </c>
      <c r="Z14" s="2"/>
      <c r="AA14" s="2">
        <v>33.209532499313354</v>
      </c>
      <c r="AC14" s="39">
        <f t="shared" si="1"/>
        <v>793.29233169555664</v>
      </c>
      <c r="AD14" s="2">
        <f t="shared" si="2"/>
        <v>12</v>
      </c>
    </row>
    <row r="15" spans="1:30" x14ac:dyDescent="0.25">
      <c r="A15" s="9">
        <v>7</v>
      </c>
      <c r="B15" s="11">
        <v>9029</v>
      </c>
      <c r="D15" s="29">
        <f t="shared" si="0"/>
        <v>7.0193578480914245E-2</v>
      </c>
      <c r="G15" s="18">
        <v>7</v>
      </c>
      <c r="H15" s="15">
        <v>92.041593790054321</v>
      </c>
      <c r="I15" s="2">
        <v>92.031687498092651</v>
      </c>
      <c r="J15" s="2">
        <v>53.197413682937622</v>
      </c>
      <c r="K15" s="2">
        <v>4.9828946590423584</v>
      </c>
      <c r="L15" s="2">
        <v>32.697731256484985</v>
      </c>
      <c r="M15" s="2">
        <v>86.940830945968628</v>
      </c>
      <c r="N15" s="2">
        <v>0</v>
      </c>
      <c r="O15" s="2">
        <v>0.49422383308410645</v>
      </c>
      <c r="P15" s="2"/>
      <c r="Q15" s="2"/>
      <c r="R15" s="2">
        <v>2.0637333393096924</v>
      </c>
      <c r="S15" s="2"/>
      <c r="T15" s="2">
        <v>36.426621675491333</v>
      </c>
      <c r="U15" s="2"/>
      <c r="V15" s="2">
        <v>58.002644777297974</v>
      </c>
      <c r="W15" s="2"/>
      <c r="X15" s="2">
        <v>79.682427644729614</v>
      </c>
      <c r="Y15" s="2">
        <v>42.05048680305481</v>
      </c>
      <c r="Z15" s="2"/>
      <c r="AA15" s="2">
        <v>42.74333119392395</v>
      </c>
      <c r="AC15" s="39">
        <f t="shared" si="1"/>
        <v>623.35562109947205</v>
      </c>
      <c r="AD15" s="2">
        <f t="shared" si="2"/>
        <v>13</v>
      </c>
    </row>
    <row r="16" spans="1:30" x14ac:dyDescent="0.25">
      <c r="A16" s="9">
        <v>8</v>
      </c>
      <c r="B16" s="11">
        <v>9484</v>
      </c>
      <c r="D16" s="29">
        <f t="shared" si="0"/>
        <v>7.3730855943403562E-2</v>
      </c>
      <c r="G16" s="18">
        <v>8</v>
      </c>
      <c r="H16" s="15">
        <v>97.412735223770142</v>
      </c>
      <c r="I16" s="2"/>
      <c r="J16" s="2"/>
      <c r="K16" s="2">
        <v>29.041093587875366</v>
      </c>
      <c r="L16" s="2"/>
      <c r="M16" s="2">
        <v>94.444006681442261</v>
      </c>
      <c r="N16" s="2">
        <v>0.49422383308410645</v>
      </c>
      <c r="O16" s="2">
        <v>0</v>
      </c>
      <c r="P16" s="2"/>
      <c r="Q16" s="2">
        <v>1.9471585750579834</v>
      </c>
      <c r="R16" s="2"/>
      <c r="S16" s="2"/>
      <c r="T16" s="2">
        <v>48.479360342025757</v>
      </c>
      <c r="U16" s="2"/>
      <c r="V16" s="2">
        <v>82.702630758285522</v>
      </c>
      <c r="W16" s="2"/>
      <c r="X16" s="2"/>
      <c r="Y16" s="2">
        <v>28.879302740097046</v>
      </c>
      <c r="Z16" s="2"/>
      <c r="AA16" s="2">
        <v>81.403964757919312</v>
      </c>
      <c r="AC16" s="39">
        <f t="shared" si="1"/>
        <v>464.8044764995575</v>
      </c>
      <c r="AD16" s="2">
        <f t="shared" si="2"/>
        <v>9</v>
      </c>
    </row>
    <row r="17" spans="1:31" x14ac:dyDescent="0.25">
      <c r="A17" s="9">
        <v>9</v>
      </c>
      <c r="B17" s="11">
        <v>7254</v>
      </c>
      <c r="D17" s="29">
        <f t="shared" si="0"/>
        <v>5.6394309259115295E-2</v>
      </c>
      <c r="G17" s="18">
        <v>9</v>
      </c>
      <c r="H17" s="15">
        <v>34.133058786392212</v>
      </c>
      <c r="I17" s="2">
        <v>14.018934965133667</v>
      </c>
      <c r="J17" s="2">
        <v>39.559203386306763</v>
      </c>
      <c r="K17" s="2">
        <v>78.528064489364624</v>
      </c>
      <c r="L17" s="2">
        <v>61.205822229385376</v>
      </c>
      <c r="M17" s="2">
        <v>42.927712202072144</v>
      </c>
      <c r="N17" s="2"/>
      <c r="O17" s="2"/>
      <c r="P17" s="2">
        <v>0</v>
      </c>
      <c r="Q17" s="2">
        <v>81.93860650062561</v>
      </c>
      <c r="R17" s="2"/>
      <c r="S17" s="2"/>
      <c r="T17" s="2">
        <v>74.068266153335571</v>
      </c>
      <c r="U17" s="2"/>
      <c r="V17" s="2">
        <v>42.429262399673462</v>
      </c>
      <c r="W17" s="2"/>
      <c r="X17" s="2">
        <v>44.194799661636353</v>
      </c>
      <c r="Y17" s="2">
        <v>65.734153985977173</v>
      </c>
      <c r="Z17" s="2">
        <v>48.505502939224243</v>
      </c>
      <c r="AA17" s="2"/>
      <c r="AC17" s="39">
        <f t="shared" si="1"/>
        <v>627.2433876991272</v>
      </c>
      <c r="AD17" s="2">
        <f t="shared" si="2"/>
        <v>12</v>
      </c>
    </row>
    <row r="18" spans="1:31" x14ac:dyDescent="0.25">
      <c r="A18" s="9">
        <v>10</v>
      </c>
      <c r="B18" s="11">
        <v>2479</v>
      </c>
      <c r="D18" s="29">
        <f t="shared" si="0"/>
        <v>1.9272331493430772E-2</v>
      </c>
      <c r="G18" s="18">
        <v>10</v>
      </c>
      <c r="H18" s="15">
        <v>8.5013926029205322</v>
      </c>
      <c r="I18" s="2">
        <v>65.85347056388855</v>
      </c>
      <c r="J18" s="2"/>
      <c r="K18" s="2"/>
      <c r="L18" s="2"/>
      <c r="M18" s="2"/>
      <c r="N18" s="2"/>
      <c r="O18" s="2">
        <v>1.9471585750579834</v>
      </c>
      <c r="P18" s="2">
        <v>81.93860650062561</v>
      </c>
      <c r="Q18" s="2">
        <v>0</v>
      </c>
      <c r="R18" s="2">
        <v>15.858954191207886</v>
      </c>
      <c r="S18" s="2">
        <v>57.433480024337769</v>
      </c>
      <c r="T18" s="2"/>
      <c r="U18" s="2"/>
      <c r="V18" s="2"/>
      <c r="W18" s="2"/>
      <c r="X18" s="2">
        <v>88.363665342330933</v>
      </c>
      <c r="Y18" s="2"/>
      <c r="Z18" s="2">
        <v>95.324057340621948</v>
      </c>
      <c r="AA18" s="2"/>
      <c r="AC18" s="39">
        <f t="shared" si="1"/>
        <v>415.22078514099121</v>
      </c>
      <c r="AD18" s="2">
        <f t="shared" si="2"/>
        <v>8</v>
      </c>
    </row>
    <row r="19" spans="1:31" x14ac:dyDescent="0.25">
      <c r="A19" s="9">
        <v>11</v>
      </c>
      <c r="B19" s="11">
        <v>3384</v>
      </c>
      <c r="D19" s="29">
        <f t="shared" si="0"/>
        <v>2.6308015237502914E-2</v>
      </c>
      <c r="G19" s="18">
        <v>11</v>
      </c>
      <c r="H19" s="15"/>
      <c r="I19" s="2">
        <v>67.897051572799683</v>
      </c>
      <c r="J19" s="2">
        <v>75.438815355300903</v>
      </c>
      <c r="K19" s="2">
        <v>60.23363471031189</v>
      </c>
      <c r="L19" s="2"/>
      <c r="M19" s="2"/>
      <c r="N19" s="2">
        <v>2.0637333393096924</v>
      </c>
      <c r="O19" s="2"/>
      <c r="P19" s="2"/>
      <c r="Q19" s="2">
        <v>15.858954191207886</v>
      </c>
      <c r="R19" s="2">
        <v>0</v>
      </c>
      <c r="S19" s="2"/>
      <c r="T19" s="2">
        <v>3.6078751087188721</v>
      </c>
      <c r="U19" s="2"/>
      <c r="V19" s="2"/>
      <c r="W19" s="2">
        <v>71.373063325881958</v>
      </c>
      <c r="X19" s="2"/>
      <c r="Y19" s="2"/>
      <c r="Z19" s="2">
        <v>38.883429765701294</v>
      </c>
      <c r="AA19" s="2">
        <v>79.960900545120239</v>
      </c>
      <c r="AC19" s="39">
        <f t="shared" si="1"/>
        <v>415.31745791435242</v>
      </c>
      <c r="AD19" s="2">
        <f t="shared" si="2"/>
        <v>9</v>
      </c>
    </row>
    <row r="20" spans="1:31" x14ac:dyDescent="0.25">
      <c r="A20" s="9">
        <v>12</v>
      </c>
      <c r="B20" s="11">
        <v>4371</v>
      </c>
      <c r="D20" s="29">
        <f t="shared" si="0"/>
        <v>3.3981186348441265E-2</v>
      </c>
      <c r="G20" s="18">
        <v>12</v>
      </c>
      <c r="H20" s="15"/>
      <c r="I20" s="2">
        <v>54.964131116867065</v>
      </c>
      <c r="J20" s="2"/>
      <c r="K20" s="2">
        <v>43.331140279769897</v>
      </c>
      <c r="L20" s="2">
        <v>61.523348093032837</v>
      </c>
      <c r="M20" s="2">
        <v>99.594038724899292</v>
      </c>
      <c r="N20" s="2"/>
      <c r="O20" s="2"/>
      <c r="P20" s="2"/>
      <c r="Q20" s="2">
        <v>57.433480024337769</v>
      </c>
      <c r="R20" s="2"/>
      <c r="S20" s="2">
        <v>0</v>
      </c>
      <c r="T20" s="2"/>
      <c r="U20" s="2"/>
      <c r="V20" s="2">
        <v>10.835498571395874</v>
      </c>
      <c r="W20" s="2">
        <v>77.059835195541382</v>
      </c>
      <c r="X20" s="2"/>
      <c r="Y20" s="2"/>
      <c r="Z20" s="2"/>
      <c r="AA20" s="2"/>
      <c r="AC20" s="39">
        <f t="shared" si="1"/>
        <v>404.74147200584412</v>
      </c>
      <c r="AD20" s="2">
        <f t="shared" si="2"/>
        <v>7</v>
      </c>
    </row>
    <row r="21" spans="1:31" x14ac:dyDescent="0.25">
      <c r="A21" s="9">
        <v>13</v>
      </c>
      <c r="B21" s="11">
        <v>9992</v>
      </c>
      <c r="D21" s="29">
        <f t="shared" si="0"/>
        <v>7.768016792350152E-2</v>
      </c>
      <c r="G21" s="18">
        <v>13</v>
      </c>
      <c r="H21" s="15">
        <v>43.920236825942993</v>
      </c>
      <c r="I21" s="2"/>
      <c r="J21" s="2">
        <v>61.226874589920044</v>
      </c>
      <c r="K21" s="2"/>
      <c r="L21" s="2">
        <v>57.693439722061157</v>
      </c>
      <c r="M21" s="2">
        <v>97.644394636154175</v>
      </c>
      <c r="N21" s="2">
        <v>36.426621675491333</v>
      </c>
      <c r="O21" s="2">
        <v>48.479360342025757</v>
      </c>
      <c r="P21" s="2">
        <v>74.068266153335571</v>
      </c>
      <c r="Q21" s="2"/>
      <c r="R21" s="2">
        <v>3.6078751087188721</v>
      </c>
      <c r="S21" s="2"/>
      <c r="T21" s="2">
        <v>0</v>
      </c>
      <c r="U21" s="2">
        <v>18.748193979263306</v>
      </c>
      <c r="V21" s="2">
        <v>5.097728967666626</v>
      </c>
      <c r="W21" s="2"/>
      <c r="X21" s="2">
        <v>5.1939547061920166</v>
      </c>
      <c r="Y21" s="2"/>
      <c r="Z21" s="2">
        <v>54.124408960342407</v>
      </c>
      <c r="AA21" s="2">
        <v>19.876104593276978</v>
      </c>
      <c r="AC21" s="39">
        <f t="shared" si="1"/>
        <v>526.10746026039124</v>
      </c>
      <c r="AD21" s="2">
        <f t="shared" si="2"/>
        <v>13</v>
      </c>
    </row>
    <row r="22" spans="1:31" x14ac:dyDescent="0.25">
      <c r="A22" s="9">
        <v>14</v>
      </c>
      <c r="B22" s="11">
        <v>7318</v>
      </c>
      <c r="D22" s="29">
        <f t="shared" si="0"/>
        <v>5.6891860374718183E-2</v>
      </c>
      <c r="G22" s="18">
        <v>14</v>
      </c>
      <c r="H22" s="15">
        <v>13.118892908096313</v>
      </c>
      <c r="I22" s="2"/>
      <c r="J22" s="2"/>
      <c r="K22" s="2">
        <v>39.181607961654663</v>
      </c>
      <c r="L22" s="2">
        <v>47.029119729995728</v>
      </c>
      <c r="M22" s="2"/>
      <c r="N22" s="2"/>
      <c r="O22" s="2"/>
      <c r="P22" s="2"/>
      <c r="Q22" s="2"/>
      <c r="R22" s="2"/>
      <c r="S22" s="2"/>
      <c r="T22" s="2">
        <v>18.748193979263306</v>
      </c>
      <c r="U22" s="2">
        <v>0</v>
      </c>
      <c r="V22" s="2">
        <v>16.079872846603394</v>
      </c>
      <c r="W22" s="2"/>
      <c r="X22" s="2">
        <v>78.859966993331909</v>
      </c>
      <c r="Y22" s="2"/>
      <c r="Z22" s="2">
        <v>43.648117780685425</v>
      </c>
      <c r="AA22" s="2"/>
      <c r="AC22" s="39">
        <f t="shared" si="1"/>
        <v>256.66577219963074</v>
      </c>
      <c r="AD22" s="2">
        <f t="shared" si="2"/>
        <v>7</v>
      </c>
    </row>
    <row r="23" spans="1:31" x14ac:dyDescent="0.25">
      <c r="A23" s="9">
        <v>15</v>
      </c>
      <c r="B23" s="11">
        <v>5953</v>
      </c>
      <c r="D23" s="29">
        <f t="shared" si="0"/>
        <v>4.6280027987250255E-2</v>
      </c>
      <c r="G23" s="18">
        <v>15</v>
      </c>
      <c r="H23" s="15"/>
      <c r="I23" s="2">
        <v>85.388392210006714</v>
      </c>
      <c r="J23" s="2">
        <v>22.314006090164185</v>
      </c>
      <c r="K23" s="2">
        <v>87.188476324081421</v>
      </c>
      <c r="L23" s="2">
        <v>13.954216241836548</v>
      </c>
      <c r="M23" s="2">
        <v>90.90544581413269</v>
      </c>
      <c r="N23" s="2">
        <v>58.002644777297974</v>
      </c>
      <c r="O23" s="2">
        <v>82.702630758285522</v>
      </c>
      <c r="P23" s="2">
        <v>42.429262399673462</v>
      </c>
      <c r="Q23" s="2"/>
      <c r="R23" s="2"/>
      <c r="S23" s="2">
        <v>10.835498571395874</v>
      </c>
      <c r="T23" s="2">
        <v>5.097728967666626</v>
      </c>
      <c r="U23" s="2">
        <v>16.079872846603394</v>
      </c>
      <c r="V23" s="2">
        <v>0</v>
      </c>
      <c r="W23" s="2"/>
      <c r="X23" s="2"/>
      <c r="Y23" s="2"/>
      <c r="Z23" s="2"/>
      <c r="AA23" s="2">
        <v>96.074038743972778</v>
      </c>
      <c r="AC23" s="39">
        <f t="shared" si="1"/>
        <v>610.97221374511719</v>
      </c>
      <c r="AD23" s="2">
        <f t="shared" si="2"/>
        <v>12</v>
      </c>
    </row>
    <row r="24" spans="1:31" x14ac:dyDescent="0.25">
      <c r="A24" s="9">
        <v>16</v>
      </c>
      <c r="B24" s="11">
        <v>1647</v>
      </c>
      <c r="D24" s="29">
        <f t="shared" si="0"/>
        <v>1.2804166990593174E-2</v>
      </c>
      <c r="G24" s="18">
        <v>16</v>
      </c>
      <c r="H24" s="15">
        <v>94.928985834121704</v>
      </c>
      <c r="I24" s="2">
        <v>91.943997144699097</v>
      </c>
      <c r="J24" s="2"/>
      <c r="K24" s="2"/>
      <c r="L24" s="2"/>
      <c r="M24" s="2">
        <v>19.807547330856323</v>
      </c>
      <c r="N24" s="2"/>
      <c r="O24" s="2"/>
      <c r="P24" s="2"/>
      <c r="Q24" s="2"/>
      <c r="R24" s="2">
        <v>71.373063325881958</v>
      </c>
      <c r="S24" s="2">
        <v>77.059835195541382</v>
      </c>
      <c r="T24" s="2"/>
      <c r="U24" s="2"/>
      <c r="V24" s="2"/>
      <c r="W24" s="2">
        <v>0</v>
      </c>
      <c r="X24" s="2">
        <v>28.112596273422241</v>
      </c>
      <c r="Y24" s="2">
        <v>96.325153112411499</v>
      </c>
      <c r="Z24" s="2">
        <v>31.030935049057007</v>
      </c>
      <c r="AA24" s="2">
        <v>38.138145208358765</v>
      </c>
      <c r="AC24" s="39">
        <f t="shared" si="1"/>
        <v>548.72025847434998</v>
      </c>
      <c r="AD24" s="2">
        <f t="shared" si="2"/>
        <v>9</v>
      </c>
    </row>
    <row r="25" spans="1:31" x14ac:dyDescent="0.25">
      <c r="A25" s="9">
        <v>17</v>
      </c>
      <c r="B25" s="11">
        <v>5455</v>
      </c>
      <c r="D25" s="29">
        <f t="shared" si="0"/>
        <v>4.240845836896525E-2</v>
      </c>
      <c r="G25" s="18">
        <v>17</v>
      </c>
      <c r="H25" s="15">
        <v>40.450578927993774</v>
      </c>
      <c r="I25" s="2"/>
      <c r="J25" s="2"/>
      <c r="K25" s="2"/>
      <c r="L25" s="2">
        <v>76.080471277236938</v>
      </c>
      <c r="M25" s="2"/>
      <c r="N25" s="2">
        <v>79.6824276447296</v>
      </c>
      <c r="O25" s="2"/>
      <c r="P25" s="2">
        <v>44.194799661636353</v>
      </c>
      <c r="Q25" s="2">
        <v>88.363665342330933</v>
      </c>
      <c r="R25" s="2"/>
      <c r="S25" s="2"/>
      <c r="T25" s="2">
        <v>5.1939547061920166</v>
      </c>
      <c r="U25" s="2">
        <v>78.859966993331909</v>
      </c>
      <c r="V25" s="2"/>
      <c r="W25" s="2">
        <v>28.112596273422241</v>
      </c>
      <c r="X25" s="2">
        <v>0</v>
      </c>
      <c r="Y25" s="2"/>
      <c r="Z25" s="2"/>
      <c r="AA25" s="2"/>
      <c r="AC25" s="39">
        <f t="shared" si="1"/>
        <v>440.93846082687378</v>
      </c>
      <c r="AD25" s="2">
        <f t="shared" si="2"/>
        <v>8</v>
      </c>
    </row>
    <row r="26" spans="1:31" x14ac:dyDescent="0.25">
      <c r="A26" s="9">
        <v>18</v>
      </c>
      <c r="B26" s="11">
        <v>7300</v>
      </c>
      <c r="D26" s="29">
        <f t="shared" si="0"/>
        <v>5.6751924123454874E-2</v>
      </c>
      <c r="G26" s="18">
        <v>18</v>
      </c>
      <c r="H26" s="15">
        <v>30.260807275772095</v>
      </c>
      <c r="I26" s="2"/>
      <c r="J26" s="2">
        <v>19.070893526077271</v>
      </c>
      <c r="K26" s="2"/>
      <c r="L26" s="2"/>
      <c r="M26" s="2">
        <v>81.852167844772339</v>
      </c>
      <c r="N26" s="2">
        <v>42.05048680305481</v>
      </c>
      <c r="O26" s="2">
        <v>28.879302740097046</v>
      </c>
      <c r="P26" s="2">
        <v>65.734153985977173</v>
      </c>
      <c r="Q26" s="2"/>
      <c r="R26" s="2"/>
      <c r="S26" s="2"/>
      <c r="T26" s="2"/>
      <c r="U26" s="2"/>
      <c r="V26" s="2"/>
      <c r="W26" s="2">
        <v>96.325153112411499</v>
      </c>
      <c r="X26" s="2"/>
      <c r="Y26" s="2">
        <v>0</v>
      </c>
      <c r="Z26" s="2">
        <v>51.324290037155151</v>
      </c>
      <c r="AA26" s="2"/>
      <c r="AC26" s="39">
        <f t="shared" si="1"/>
        <v>415.49725532531738</v>
      </c>
      <c r="AD26" s="2">
        <f t="shared" si="2"/>
        <v>8</v>
      </c>
    </row>
    <row r="27" spans="1:31" x14ac:dyDescent="0.25">
      <c r="A27" s="9">
        <v>19</v>
      </c>
      <c r="B27" s="11">
        <v>4146</v>
      </c>
      <c r="D27" s="29">
        <f t="shared" si="0"/>
        <v>3.2231983207649847E-2</v>
      </c>
      <c r="G27" s="18">
        <v>19</v>
      </c>
      <c r="H27" s="15">
        <v>84.720999002456665</v>
      </c>
      <c r="I27" s="2"/>
      <c r="J27" s="2">
        <v>96.947985887527466</v>
      </c>
      <c r="K27" s="2"/>
      <c r="L27" s="2"/>
      <c r="M27" s="2"/>
      <c r="N27" s="2"/>
      <c r="O27" s="2"/>
      <c r="P27" s="2">
        <v>48.505502939224243</v>
      </c>
      <c r="Q27" s="2">
        <v>95.324057340621948</v>
      </c>
      <c r="R27" s="2">
        <v>38.883429765701294</v>
      </c>
      <c r="S27" s="2"/>
      <c r="T27" s="2">
        <v>54.124408960342407</v>
      </c>
      <c r="U27" s="2">
        <v>43.648117780685425</v>
      </c>
      <c r="V27" s="2"/>
      <c r="W27" s="2">
        <v>31.030935049057007</v>
      </c>
      <c r="X27" s="2"/>
      <c r="Y27" s="2">
        <v>51.324290037155151</v>
      </c>
      <c r="Z27" s="2">
        <v>0</v>
      </c>
      <c r="AA27" s="2"/>
      <c r="AC27" s="39">
        <f t="shared" si="1"/>
        <v>544.50972676277161</v>
      </c>
      <c r="AD27" s="2">
        <f t="shared" si="2"/>
        <v>9</v>
      </c>
    </row>
    <row r="28" spans="1:31" ht="15.75" thickBot="1" x14ac:dyDescent="0.3">
      <c r="A28" s="9">
        <v>20</v>
      </c>
      <c r="B28" s="11">
        <v>5903</v>
      </c>
      <c r="D28" s="30">
        <f t="shared" si="0"/>
        <v>4.5891316178185496E-2</v>
      </c>
      <c r="G28" s="19">
        <v>20</v>
      </c>
      <c r="H28" s="15"/>
      <c r="I28" s="2"/>
      <c r="J28" s="2">
        <v>68.552190065383911</v>
      </c>
      <c r="K28" s="2">
        <v>48.74228835105896</v>
      </c>
      <c r="L28" s="2"/>
      <c r="M28" s="2">
        <v>33.209532499313354</v>
      </c>
      <c r="N28" s="2">
        <v>42.74333119392395</v>
      </c>
      <c r="O28" s="2">
        <v>81.403964757919312</v>
      </c>
      <c r="P28" s="2"/>
      <c r="Q28" s="2"/>
      <c r="R28" s="2">
        <v>79.960900545120239</v>
      </c>
      <c r="S28" s="2"/>
      <c r="T28" s="2">
        <v>19.876104593276978</v>
      </c>
      <c r="U28" s="2"/>
      <c r="V28" s="2">
        <v>96.074038743972778</v>
      </c>
      <c r="W28" s="2">
        <v>38.138145208358765</v>
      </c>
      <c r="X28" s="2"/>
      <c r="Y28" s="2"/>
      <c r="Z28" s="2"/>
      <c r="AA28" s="2">
        <v>0</v>
      </c>
      <c r="AC28" s="39">
        <f t="shared" si="1"/>
        <v>508.70049595832825</v>
      </c>
      <c r="AD28" s="2">
        <f t="shared" si="2"/>
        <v>9</v>
      </c>
    </row>
    <row r="29" spans="1:31" x14ac:dyDescent="0.25">
      <c r="A29" s="1" t="s">
        <v>3</v>
      </c>
      <c r="B29" s="31">
        <f>SUM(B9:B28)</f>
        <v>128630</v>
      </c>
      <c r="D29" s="32">
        <f>SUM(D9:D28)</f>
        <v>1</v>
      </c>
      <c r="AB29" s="31">
        <f>SUM(H9:AA28)</f>
        <v>10545.850849151611</v>
      </c>
    </row>
    <row r="30" spans="1:31" hidden="1" x14ac:dyDescent="0.25">
      <c r="H30" s="2">
        <f>SUM(H9:H28)</f>
        <v>685.0762665271759</v>
      </c>
      <c r="I30" s="2">
        <f t="shared" ref="I30:AA30" si="3">SUM(I9:I28)</f>
        <v>642.85094738006592</v>
      </c>
      <c r="J30" s="2">
        <f t="shared" si="3"/>
        <v>526.31479501724243</v>
      </c>
      <c r="K30" s="2">
        <f t="shared" si="3"/>
        <v>575.20737051963806</v>
      </c>
      <c r="L30" s="2">
        <f t="shared" si="3"/>
        <v>520.31429409980774</v>
      </c>
      <c r="M30" s="2">
        <f t="shared" si="3"/>
        <v>793.29233169555664</v>
      </c>
      <c r="N30" s="2">
        <f t="shared" si="3"/>
        <v>623.35562109947205</v>
      </c>
      <c r="O30" s="2">
        <f t="shared" si="3"/>
        <v>464.8044764995575</v>
      </c>
      <c r="P30" s="2">
        <f t="shared" si="3"/>
        <v>627.2433876991272</v>
      </c>
      <c r="Q30" s="2">
        <f t="shared" si="3"/>
        <v>415.22078514099121</v>
      </c>
      <c r="R30" s="2">
        <f t="shared" si="3"/>
        <v>415.31745791435242</v>
      </c>
      <c r="S30" s="2">
        <f t="shared" si="3"/>
        <v>404.74147200584412</v>
      </c>
      <c r="T30" s="2">
        <f t="shared" si="3"/>
        <v>526.10746026039124</v>
      </c>
      <c r="U30" s="2">
        <f t="shared" si="3"/>
        <v>256.66577219963074</v>
      </c>
      <c r="V30" s="2">
        <f t="shared" si="3"/>
        <v>610.97221374511719</v>
      </c>
      <c r="W30" s="2">
        <f t="shared" si="3"/>
        <v>548.72025847434998</v>
      </c>
      <c r="X30" s="2">
        <f t="shared" si="3"/>
        <v>440.93846082687378</v>
      </c>
      <c r="Y30" s="2">
        <f t="shared" si="3"/>
        <v>415.49725532531738</v>
      </c>
      <c r="Z30" s="2">
        <f t="shared" si="3"/>
        <v>544.50972676277161</v>
      </c>
      <c r="AA30" s="2">
        <f t="shared" si="3"/>
        <v>508.70049595832825</v>
      </c>
      <c r="AC30" s="40">
        <f>COUNTIF(AC9:AC28,0)</f>
        <v>0</v>
      </c>
      <c r="AD30" s="2">
        <f>SUM(AD9:AD28)</f>
        <v>200</v>
      </c>
      <c r="AE30">
        <f>(B35*B35-3*B35+4)/2</f>
        <v>172</v>
      </c>
    </row>
    <row r="32" spans="1:31" ht="15.75" hidden="1" thickBot="1" x14ac:dyDescent="0.3">
      <c r="A32" s="33" t="s">
        <v>13</v>
      </c>
      <c r="B32" s="34">
        <v>0</v>
      </c>
    </row>
    <row r="33" spans="1:3" ht="15.75" hidden="1" thickBot="1" x14ac:dyDescent="0.3">
      <c r="A33" s="33" t="s">
        <v>14</v>
      </c>
      <c r="B33" s="33">
        <v>100</v>
      </c>
    </row>
    <row r="34" spans="1:3" ht="15.75" hidden="1" thickBot="1" x14ac:dyDescent="0.3">
      <c r="A34" s="33" t="s">
        <v>15</v>
      </c>
      <c r="B34" s="33">
        <v>0.5</v>
      </c>
    </row>
    <row r="35" spans="1:3" ht="15.75" hidden="1" thickBot="1" x14ac:dyDescent="0.3">
      <c r="A35" s="35" t="s">
        <v>16</v>
      </c>
      <c r="B35" s="35">
        <v>20</v>
      </c>
    </row>
    <row r="38" spans="1:3" ht="15.75" thickBot="1" x14ac:dyDescent="0.3"/>
    <row r="39" spans="1:3" ht="15.75" thickBot="1" x14ac:dyDescent="0.3">
      <c r="A39" s="36" t="s">
        <v>18</v>
      </c>
      <c r="B39" s="37"/>
      <c r="C39" s="38">
        <v>8527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param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Пес</cp:lastModifiedBy>
  <dcterms:created xsi:type="dcterms:W3CDTF">2017-09-26T07:27:19Z</dcterms:created>
  <dcterms:modified xsi:type="dcterms:W3CDTF">2019-12-25T21:35:32Z</dcterms:modified>
</cp:coreProperties>
</file>